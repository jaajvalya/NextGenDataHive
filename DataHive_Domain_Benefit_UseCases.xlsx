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vidvan/Projects/NextGenDataHive/"/>
    </mc:Choice>
  </mc:AlternateContent>
  <xr:revisionPtr revIDLastSave="0" documentId="8_{BCFBEAC1-147D-A944-AF15-A40CEB2832DB}" xr6:coauthVersionLast="47" xr6:coauthVersionMax="47" xr10:uidLastSave="{00000000-0000-0000-0000-000000000000}"/>
  <bookViews>
    <workbookView xWindow="0" yWindow="780" windowWidth="36000" windowHeight="21720" tabRatio="500" activeTab="1" xr2:uid="{00000000-000D-0000-FFFF-FFFF00000000}"/>
  </bookViews>
  <sheets>
    <sheet name="Domain Benefit Use Cases" sheetId="1" r:id="rId1"/>
    <sheet name="Competitive Positioning" sheetId="2" r:id="rId2"/>
    <sheet name="TCO Model" sheetId="3" r:id="rId3"/>
    <sheet name="How to Position Free" sheetId="4" r:id="rId4"/>
  </sheets>
  <definedNames>
    <definedName name="_xlnm._FilterDatabase" localSheetId="1" hidden="1">'Competitive Positioning'!$A$1:$G$11</definedName>
    <definedName name="_xlnm._FilterDatabase" localSheetId="0" hidden="1">'Domain Benefit Use Cases'!$A$1:$I$38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0" i="3" l="1"/>
  <c r="H19" i="3"/>
  <c r="D18" i="3"/>
  <c r="F18" i="3" s="1"/>
  <c r="G18" i="3" s="1"/>
  <c r="D17" i="3"/>
  <c r="F17" i="3" s="1"/>
  <c r="G17" i="3" s="1"/>
  <c r="D16" i="3"/>
  <c r="F16" i="3" s="1"/>
  <c r="G16" i="3" s="1"/>
  <c r="D15" i="3"/>
  <c r="F15" i="3" s="1"/>
  <c r="G15" i="3" s="1"/>
  <c r="D14" i="3"/>
  <c r="F14" i="3" s="1"/>
  <c r="G14" i="3" s="1"/>
  <c r="D13" i="3"/>
  <c r="F13" i="3" s="1"/>
  <c r="G20" i="3" l="1"/>
  <c r="H20" i="3"/>
  <c r="H22" i="3" s="1"/>
  <c r="G13" i="3"/>
  <c r="G19" i="3" s="1"/>
  <c r="G22" i="3" s="1"/>
  <c r="G23" i="3" s="1"/>
  <c r="F19" i="3"/>
</calcChain>
</file>

<file path=xl/sharedStrings.xml><?xml version="1.0" encoding="utf-8"?>
<sst xmlns="http://schemas.openxmlformats.org/spreadsheetml/2006/main" count="449" uniqueCount="420">
  <si>
    <t>ID</t>
  </si>
  <si>
    <t>Domain</t>
  </si>
  <si>
    <t>Benefit-Led Use Case</t>
  </si>
  <si>
    <t>Business Pain Today</t>
  </si>
  <si>
    <t>DataHive Capability Used</t>
  </si>
  <si>
    <t>Measurable Benefit / KPI to Quote</t>
  </si>
  <si>
    <t>What Clients Buy Instead</t>
  </si>
  <si>
    <t>Why DataHive Wins (Differentiator)</t>
  </si>
  <si>
    <t>Honest Limitation to Disclose</t>
  </si>
  <si>
    <t>Banking &amp; Financial Services</t>
  </si>
  <si>
    <t>Regulatory metric definitions that survive an audit</t>
  </si>
  <si>
    <t>RWA, NPA, exposure and customer-count definitions differ between risk, finance and MIS teams; auditors get three answers to one question.</t>
  </si>
  <si>
    <t>Glossary upload + glossary sync (writes business_definition onto Postgres/Snowflake column comments) + Assets catalog</t>
  </si>
  <si>
    <t>Definition disputes closed per audit cycle; hours of reconciliation per regulatory submission (typically 40-80 hrs/quarter).</t>
  </si>
  <si>
    <t>Collibra, Informatica CDGC, Microsoft Purview</t>
  </si>
  <si>
    <t>Definitions are pushed INTO the warehouse as column comments, so they show up in DBeaver, Power BI, Snowsight and any future BI tool. Collibra-class tools keep the definition inside their own UI, so it only travels if you also buy their integrations. Zero licence cost also removes the 6-9 month procurement + security review cycle that usually delays governance programmes.</t>
  </si>
  <si>
    <t>No approval workflow, versioning or crowd-sourced stewardship yet. Glossary change control lives in the spreadsheet/Git, not in DataHive.</t>
  </si>
  <si>
    <t>Credential sprawl elimination across analytics estate</t>
  </si>
  <si>
    <t>Warehouse credentials sit hard-coded in analyst notebooks, ETL scripts, shared drives and Git history. Every leaver is a rotation event.</t>
  </si>
  <si>
    <t>Connector registry with encrypted-at-rest secrets + /api/connectors/{id}/runtime-env resolution in generated scripts</t>
  </si>
  <si>
    <t>Number of hard-coded credentials removed; credential rotation effort (days to hours); audit findings closed.</t>
  </si>
  <si>
    <t>HashiCorp Vault + custom glue, CyberArk Conjur, cloud-native secret managers</t>
  </si>
  <si>
    <t>Secrets management is delivered as a by-product of the connector the engineer already needed, so adoption is automatic rather than a policy someone has to enforce. Vault-class tools solve it properly but need a dedicated platform team and a licence; DataHive gets a POC or mid-size estate compliant on day one at no cost.</t>
  </si>
  <si>
    <t>This is application-level encryption, not an HSM-backed enterprise secrets platform. For Tier-1 production, position as the analytics-layer complement to Vault, not its replacement.</t>
  </si>
  <si>
    <t>Trust gate before any number reaches a regulator or board pack</t>
  </si>
  <si>
    <t>Dashboards are built on tables nobody has profiled; errors are found by the CFO, not by the data team.</t>
  </si>
  <si>
    <t>Governance - Data Quality scorecards (weighted Completeness, Uniqueness, Validity, Schema, Volume) + DQ triage before Insights/Ask exposure</t>
  </si>
  <si>
    <t>% of consumption-layer tables with a published DQ grade; defects caught pre-release vs post-release ratio.</t>
  </si>
  <si>
    <t>Monte Carlo, Anomalo, Collibra DQ (OwlDQ), Informatica DQ, Great Expectations</t>
  </si>
  <si>
    <t>The scoring logic is documented and deterministic, so a risk or audit function can review and sign off on HOW the score was produced. ML-anomaly vendors give a good alert but a black box, which regulated committees push back on. Priced per-table or per-monitor, those tools also make teams ration coverage; free changes the behaviour to profile everything.</t>
  </si>
  <si>
    <t>No incident alerting, no historical trend of scores, no automated freshness monitoring. This is a gate, not a 24x7 observability platform.</t>
  </si>
  <si>
    <t>Insurance</t>
  </si>
  <si>
    <t>Claims and policy data made analyst-usable without a modeller</t>
  </si>
  <si>
    <t>Legacy policy admin schemas have 400+ cryptic columns; every new analyst burns 4-6 weeks learning them.</t>
  </si>
  <si>
    <t>Assets discovery + catalog tree in Reporting + glossary business names + Ask Aura sample questions</t>
  </si>
  <si>
    <t>Time-to-first-useful-query for a new joiner (target: weeks to days); analyst onboarding cost avoided per head.</t>
  </si>
  <si>
    <t>Alation, Atlan, data.world</t>
  </si>
  <si>
    <t>Discovery, business definitions, NLQ and the SQL workbench are the same product, so an analyst never context-switches between a catalog tab and a query tool. Catalog vendors price per user, which is exactly the population you want browsing freely; free removes the incentive to limit seats to the few people who least need discovery.</t>
  </si>
  <si>
    <t>Catalog is structural (schemas/tables/columns). No usage-based popularity ranking, no automatic column-level profiling in the catalog view.</t>
  </si>
  <si>
    <t>Business-user claims questions answered without an analyst ticket</t>
  </si>
  <si>
    <t>Claims ops and underwriting raise 30-60 ad-hoc pulls a month; the analytics team is a queue, not a partner.</t>
  </si>
  <si>
    <t>Ask Aura NLQ (catalog context -&gt; plan -&gt; NL2SQL -&gt; read-only guards -&gt; capped rows -&gt; narrative answer with SQL and assumptions)</t>
  </si>
  <si>
    <t>Ad-hoc ticket volume deflected per month; average turnaround (days to minutes); analyst hours returned to project work.</t>
  </si>
  <si>
    <t>ThoughtSpot, Power BI Copilot, Snowflake Cortex Analyst, Databricks Genie</t>
  </si>
  <si>
    <t>Bring-your-own-LLM, including a local Ollama model, so claims data with PII never leaves the client network - the blocker that stops most insurers adopting Copilot-class NLQ. It also works across connectors rather than being locked to one vendor's warehouse, and every answer exposes the SQL, sources and assumptions so an actuary can verify rather than trust.</t>
  </si>
  <si>
    <t>Requires a configured AI provider. Deepest support is Postgres and Snowflake; other connectors are shallower. Accuracy depends on glossary quality - garbage-in still applies.</t>
  </si>
  <si>
    <t>Sensitivity and ownership register for PII/PHI in the analytics estate</t>
  </si>
  <si>
    <t>Nobody can answer 'which columns hold health data and who owns them' without a manual survey.</t>
  </si>
  <si>
    <t>Glossary classification / sensitivity / owner / steward fields + connector PII-PHI scoping prompts</t>
  </si>
  <si>
    <t>% of sensitive columns tagged with a named owner; audit evidence prepared in hours rather than a multi-week survey.</t>
  </si>
  <si>
    <t>Collibra, BigID, Securiti, Microsoft Purview</t>
  </si>
  <si>
    <t>Delivers the compliance artefact - a defensible tagged inventory with named owners - without a discovery-scanner licence. For a mid-size insurer that needs the register more than it needs automated classification, this is 80% of the outcome at 0% of the cost.</t>
  </si>
  <si>
    <t>Tagging is manual/template-driven. There is no automated PII discovery or pattern-based classification scanner.</t>
  </si>
  <si>
    <t>Telecom</t>
  </si>
  <si>
    <t>Network and CDR lineage narrative for exec and regulator walkthroughs</t>
  </si>
  <si>
    <t>Nobody can explain end-to-end how an ARPU or churn number was produced across bronze/silver/gold hops.</t>
  </si>
  <si>
    <t>Governance - Data Lineage SVG map (connector + layer/stage, node-click path highlight, medallion legend)</t>
  </si>
  <si>
    <t>Time to answer 'where did this KPI come from?' in a review; reduced prep time for regulatory or board walkthroughs.</t>
  </si>
  <si>
    <t>MANTA, Octopai, Atlan lineage, Microsoft Purview</t>
  </si>
  <si>
    <t>Gets a credible lineage story in front of stakeholders in days instead of the multi-month parser deployment those tools require, and at no cost. For a POC, steering committee or audit walkthrough, the narrative is what is actually being consumed.</t>
  </si>
  <si>
    <t>Be straight about this one: the lineage graph is largely presentational today, not parsed from live SQL/ETL. Do not position it against MANTA on automated column-level lineage - you will lose.</t>
  </si>
  <si>
    <t>Self-serve ARPU / churn / usage questions for commercial teams</t>
  </si>
  <si>
    <t>Commercial and marketing leads wait days for usage and churn cuts that analysts consider trivial.</t>
  </si>
  <si>
    <t>Ask Aura NLQ + Insights slice-and-dice (channel, geography, loyalty tier, payment method) + Reporting handoff</t>
  </si>
  <si>
    <t>Ad-hoc request backlog reduction; decision latency in weekly commercial reviews.</t>
  </si>
  <si>
    <t>ThoughtSpot, Tableau Pulse, Power BI Premium capacity</t>
  </si>
  <si>
    <t>No per-seat or per-capacity licence, so the entire commercial population can be given access. Per-seat NLQ pricing forces telcos to license 20 people out of 200, which kills the self-serve behaviour change the tool was bought for. The Aura-to-Reporting handoff also keeps the analyst in the loop on the same generated SQL, which BI-native NLQ tends to hide.</t>
  </si>
  <si>
    <t>Insights expects certain business table shapes in the scoped schema. It is not a general-purpose dashboard designer - it will not replace Power BI for pixel-perfect reporting.</t>
  </si>
  <si>
    <t>Trustworthiness gate on high-volume operational data</t>
  </si>
  <si>
    <t>CDR, provisioning and billing tables routinely fail completeness and uniqueness, and it is discovered downstream in revenue assurance.</t>
  </si>
  <si>
    <t>DQ scorecards + issues dashboard + exclude-from-scope until grade improves</t>
  </si>
  <si>
    <t>Revenue leakage incidents traced to data defects; % of tables promoted to consumption with a passing grade.</t>
  </si>
  <si>
    <t>Informatica DQ, Collibra DQ, Soda, in-house Spark checks</t>
  </si>
  <si>
    <t>Free means you profile all 12-table batches across the whole estate instead of rationing paid monitors to the 'important' tables - and in telecom the leakage is usually hiding in the tables nobody thought were important enough to license coverage for.</t>
  </si>
  <si>
    <t>Max 12 tables per run. Sampling-based profiling, so very large fact tables need a scoped or partitioned approach.</t>
  </si>
  <si>
    <t>Healthcare &amp; Life Sciences</t>
  </si>
  <si>
    <t>PHI-safe natural language analytics inside the hospital network</t>
  </si>
  <si>
    <t>Clinical and ops leaders want data answers but no PHI can be sent to a public LLM endpoint, so NLQ projects stall at legal review.</t>
  </si>
  <si>
    <t>Ask Aura with local Ollama provider + read-only SQL guards + row caps + query logging</t>
  </si>
  <si>
    <t>NLQ programme approved by IG/legal (binary win); ops questions answered without a data request form.</t>
  </si>
  <si>
    <t>Microsoft Fabric Copilot, ThoughtSpot, Google Cortex, Databricks Genie</t>
  </si>
  <si>
    <t>The whole stack, including the model, can run inside the client's network with no outbound calls. Every major commercial NLQ product routes to a vendor-hosted model, which is precisely the control that healthcare information governance will not grant. Being free also removes the business case burden from a cost-pressured NHS trust or hospital group.</t>
  </si>
  <si>
    <t>Local models are materially weaker at NL2SQL than frontier models - set expectations on accuracy, and require analyst review of generated SQL before clinical or safety use.</t>
  </si>
  <si>
    <t>Clinical and operational data dictionary shared by clinicians and engineers</t>
  </si>
  <si>
    <t>Clinicians and data engineers use different words for the same field; specifications go through three rounds of clarification.</t>
  </si>
  <si>
    <t>Glossary template (business_name, business_definition, classification, owner, steward) + sync to column comments</t>
  </si>
  <si>
    <t>Requirement clarification cycles per project; rework avoided on spec misinterpretation.</t>
  </si>
  <si>
    <t>Collibra, Purview, Excel + SharePoint (the honest incumbent)</t>
  </si>
  <si>
    <t>The realistic competitor here is a stale SharePoint spreadsheet, and DataHive beats it by pushing the definition into the database where it cannot rot unseen. Against Collibra it wins on time-to-value: a working dictionary in a fortnight, not a year-long programme.</t>
  </si>
  <si>
    <t>No workflow, approval chain or term-relationship modelling. Governance maturity beyond a dictionary needs a real EDM platform later.</t>
  </si>
  <si>
    <t>Research and claims data landing without a full pipeline build</t>
  </si>
  <si>
    <t>Partner and registry data arrives as files; each new feed becomes a bespoke engineering ticket.</t>
  </si>
  <si>
    <t>Connectors File Upload + ETL/ELT local upload + Python flatten for nested JSON + generated PySpark/SQL scripts</t>
  </si>
  <si>
    <t>Time from file receipt to queryable table; engineering days saved per new feed.</t>
  </si>
  <si>
    <t>Fivetran, Matillion, Talend, Azure Data Factory</t>
  </si>
  <si>
    <t>Generated scripts are plain SQL / Python / PySpark that the client keeps and runs anywhere - no proprietary runtime, no row-based consumption pricing, no vendor lock on the pipeline. Fivetran-class pricing on research data volumes is unpredictable; here the marginal cost of another feed is zero.</t>
  </si>
  <si>
    <t>Script generation, not orchestration. No scheduler, retries, backfill management or SLA monitoring - pair with Airflow/ADF for production.</t>
  </si>
  <si>
    <t>Retail &amp; eCommerce</t>
  </si>
  <si>
    <t>Customer 360 and sales operations view without a BI build</t>
  </si>
  <si>
    <t>Merchandising and CX want a customer/revenue view but the BI backlog is 8 weeks deep.</t>
  </si>
  <si>
    <t>Insights (Connection -&gt; Database -&gt; Schema scope, KPI row, Customer 360 profiles, top products, detail tables)</t>
  </si>
  <si>
    <t>Time from schema availability to a stakeholder-usable dashboard; BI backlog items avoided.</t>
  </si>
  <si>
    <t>Power BI, Tableau, Looker</t>
  </si>
  <si>
    <t>Pre-shaped dashboards appear as soon as a schema is connected, with no semantic model, workspace or licence provisioning. This is the fastest path from 'data exists' to 'business can see it', which is exactly what wins a POC or a first 30 days.</t>
  </si>
  <si>
    <t>Insights expects conventional table shapes and is not a substitute for a governed enterprise BI layer. Position it as the fast start, with Power BI/Tableau as the long-term reporting estate.</t>
  </si>
  <si>
    <t>Merchandising and marketing self-service at full population scale</t>
  </si>
  <si>
    <t>Category managers and campaign leads cannot write SQL, so every question becomes an analyst request.</t>
  </si>
  <si>
    <t>Ask Aura Auto source selection + Insights slice/dice chips + Reporting CSV export</t>
  </si>
  <si>
    <t>Requests deflected per month; % of category managers active weekly; campaign decision latency.</t>
  </si>
  <si>
    <t>ThoughtSpot, Looker, Power BI Copilot (all per-user or per-capacity)</t>
  </si>
  <si>
    <t>Seat economics are the whole argument in retail: a 300-person merchandising and marketing organisation is unaffordable to license on ThoughtSpot, so it gets rationed to 30 and the behaviour never changes. Zero licence cost lets you roll out to everyone and let usage decide value.</t>
  </si>
  <si>
    <t>Answer quality depends on catalog and glossary coverage. Without business definitions loaded, NLQ output on ambiguous retail terms (net sales, active customer) will be inconsistent.</t>
  </si>
  <si>
    <t>Vendor and store file feeds turned into tracked, governed landing</t>
  </si>
  <si>
    <t>Store audits, supplier feeds and campaign extracts arrive by email and land on someone's laptop.</t>
  </si>
  <si>
    <t>Connectors File Upload (controlled uploads area, flattened unique names, notes) feeding ETL scripts</t>
  </si>
  <si>
    <t>% of inbound partner feeds with a tracked landing record; reprocessing incidents from lost files.</t>
  </si>
  <si>
    <t>Fivetran files, SFTP + custom scripts, manual SharePoint folders</t>
  </si>
  <si>
    <t>Replaces the 'email me the CSV' anti-pattern with a tracked step at no cost, which means it actually gets adopted for the long tail of small feeds that never justify a paid connector.</t>
  </si>
  <si>
    <t>Not a managed file transfer product - no scheduled pickup, no partner portal, no automated arrival notification.</t>
  </si>
  <si>
    <t>CPG / Consumer Goods</t>
  </si>
  <si>
    <t>Consistent trade and promo definitions across markets</t>
  </si>
  <si>
    <t>Every country team defines gross-to-net, trade spend and distribution differently, so global roll-ups are argued rather than read.</t>
  </si>
  <si>
    <t>Glossary publish + sync + Assets catalog across market connectors</t>
  </si>
  <si>
    <t>Number of markets on a shared definition set; time to close a global reporting cycle.</t>
  </si>
  <si>
    <t>Collibra, Informatica CDGC, Purview</t>
  </si>
  <si>
    <t>Multi-market rollout has no incremental licence cost, so market #12 is as easy as market #1. Enterprise governance suites price by user or by data volume, which is exactly what stops a global standardisation programme after the first three markets.</t>
  </si>
  <si>
    <t>No multi-tenant separation of glossary scopes today - global vs market-level term hierarchies must be handled by naming convention.</t>
  </si>
  <si>
    <t>Fast dimensional model for a new brand or category mart</t>
  </si>
  <si>
    <t>Every new category analytics request restarts a modelling exercise from a blank page.</t>
  </si>
  <si>
    <t>Governance - Data Modeling wizard (Scope -&gt; Propose model -&gt; review PK/FK -&gt; generate DDL + ingestion scripts)</t>
  </si>
  <si>
    <t>Modelling elapsed time per mart (weeks to days); consistency of star schemas across categories.</t>
  </si>
  <si>
    <t>erwin, SqlDBM, Ellie.ai, manual modelling in Confluence</t>
  </si>
  <si>
    <t>Produces a proposed star schema plus runnable DDL and ingestion scripts in one pass, and the output is portable SQL the client owns. Modelling tools produce diagrams; this produces diagrams AND the code, with no licence.</t>
  </si>
  <si>
    <t>It is a proposal, not an authoritative model. A modeller must review keys, grain and SCD strategy before it is trusted.</t>
  </si>
  <si>
    <t>Manufacturing</t>
  </si>
  <si>
    <t>OT and IT data brought into one catalog</t>
  </si>
  <si>
    <t>Plant historian, MES and ERP data sit in separate silos owned by separate teams; nobody has one inventory.</t>
  </si>
  <si>
    <t>Connector registry (multi-cloud + Postgres/SQL Server/MongoDB) + Assets cross-source discovery + coverage cards</t>
  </si>
  <si>
    <t>% of plant and enterprise systems cataloged; time to answer a cross-system data availability question.</t>
  </si>
  <si>
    <t>Informatica, Purview, Alation</t>
  </si>
  <si>
    <t>One registry spanning cloud warehouses, operational databases and MongoDB, with no per-source connector licence. Enterprise catalog vendors charge per connector or per data volume, which makes cataloguing 14 plants a budget conversation instead of an engineering one.</t>
  </si>
  <si>
    <t>No native historian/OPC-UA or industrial protocol connectors - OT data must already be landed in a supported store.</t>
  </si>
  <si>
    <t>Master data quality gate before it reaches planning systems</t>
  </si>
  <si>
    <t>Material, BOM and vendor master defects propagate into planning and only surface as a production issue.</t>
  </si>
  <si>
    <t>DQ scorecards on master tables (Completeness, Uniqueness, Validity, Schema, Volume) + issues dashboard</t>
  </si>
  <si>
    <t>Master data defects caught pre-propagation; planning exceptions traced to data quality.</t>
  </si>
  <si>
    <t>Informatica DQ, Ataccama, SAP MDG add-ons</t>
  </si>
  <si>
    <t>Objective, documented scoring on master tables at no cost, so quality gating starts this quarter rather than after an MDM business case. Transparent weights also make it easy to agree acceptance thresholds with the business.</t>
  </si>
  <si>
    <t>Profiling and scoring only - no matching, survivorship, golden-record or remediation workflow. This is a gate, not an MDM tool.</t>
  </si>
  <si>
    <t>Repeatable plant-by-plant pipeline rollout</t>
  </si>
  <si>
    <t>Each plant onboarding rewrites the same ingestion logic slightly differently.</t>
  </si>
  <si>
    <t>ETL/ELT save-and-reuse pipeline definitions + generated SQL/Python/PySpark + runtime-env secret resolution</t>
  </si>
  <si>
    <t>Engineering days per plant onboarding after the first; consistency of ingestion patterns across sites.</t>
  </si>
  <si>
    <t>Matillion, Talend, ADF templates</t>
  </si>
  <si>
    <t>Reusable definitions plus portable generated code, with no per-pipeline or per-row licence as the plant count grows. Cost scaling is the usual reason plant #6 onwards gets a hand-rolled script instead of the standard pattern.</t>
  </si>
  <si>
    <t>Pipeline definitions persist locally in the current build - treat versioning and promotion as a Git responsibility, not a platform feature.</t>
  </si>
  <si>
    <t>Logistics &amp; Supply Chain</t>
  </si>
  <si>
    <t>Carrier and 3PL file feeds standardised quickly</t>
  </si>
  <si>
    <t>Dozens of carrier extracts in inconsistent formats arrive weekly; integration backlog never clears.</t>
  </si>
  <si>
    <t>File Upload + ETL/ELT generation (flatten nested JSON, cloud URI and stage sources) + saved pipelines</t>
  </si>
  <si>
    <t>Feeds onboarded per month; days from new carrier contract to visibility in reporting.</t>
  </si>
  <si>
    <t>Fivetran, Talend, custom SFTP + Python</t>
  </si>
  <si>
    <t>The long tail of small, low-volume partner feeds is uneconomic to license on consumption-priced ingestion tools, so it stays manual. Zero marginal cost is what finally lets the long tail get onboarded.</t>
  </si>
  <si>
    <t>No scheduling or orchestration - production runs need an external scheduler.</t>
  </si>
  <si>
    <t>Shipment data triage before it drives service-level reporting</t>
  </si>
  <si>
    <t>Missing timestamps and duplicate shipment records quietly distort OTIF and service KPIs.</t>
  </si>
  <si>
    <t>DQ scorecards + triage workflow (fix upstream or exclude from Insights/Ask scope until grade improves)</t>
  </si>
  <si>
    <t>OTIF reporting disputes with customers; % of shipment tables passing completeness thresholds.</t>
  </si>
  <si>
    <t>Monte Carlo, Soda, Great Expectations</t>
  </si>
  <si>
    <t>Gets a defensible quality figure attached to customer-facing service metrics without an observability licence, which matters when the KPI is contractual.</t>
  </si>
  <si>
    <t>Point-in-time scoring, no continuous monitoring or alerting on drift.</t>
  </si>
  <si>
    <t>Media &amp; Advertising / Streaming</t>
  </si>
  <si>
    <t>Campaign and content performance slicing for non-technical teams</t>
  </si>
  <si>
    <t>Campaign managers need daily cuts by channel, geography and audience; each one is an analyst request.</t>
  </si>
  <si>
    <t>Insights slice-and-dice + Ask Aura self-serve + Reporting CSV export</t>
  </si>
  <si>
    <t>Analyst hours returned; campaign optimisation decisions made within the flight rather than after it.</t>
  </si>
  <si>
    <t>Looker, ThoughtSpot, Tableau, Power BI</t>
  </si>
  <si>
    <t>High-churn campaign teams are the worst fit for per-seat licensing - you pay for seats that turn over every quarter. Free removes seat management entirely and lets agency or freelance staff be onboarded without procurement.</t>
  </si>
  <si>
    <t>Not a marketing-attribution tool - no MMM, no multi-touch attribution modelling.</t>
  </si>
  <si>
    <t>Nested event and telemetry JSON made queryable</t>
  </si>
  <si>
    <t>Player, ad-server and engagement events arrive as deeply nested JSON that analysts cannot query directly.</t>
  </si>
  <si>
    <t>ETL/ELT Python flatten for nested JSON + cloud URI / stage sources + generated scripts</t>
  </si>
  <si>
    <t>Time from event feed to queryable table; analyst dependency on engineering for flattening.</t>
  </si>
  <si>
    <t>Fivetran, Snowplow, custom Spark jobs</t>
  </si>
  <si>
    <t>Volume-priced ingestion is brutal on event data - streaming telemetry is exactly where consumption pricing hurts most. Generating portable flattening code that runs on the client's own compute sidesteps that entirely.</t>
  </si>
  <si>
    <t>Batch-oriented. No streaming ingestion, no real-time or micro-batch pattern support.</t>
  </si>
  <si>
    <t>SaaS / Technology</t>
  </si>
  <si>
    <t>Internal data platform capability without buying the modern data stack</t>
  </si>
  <si>
    <t>A growth-stage company needs catalog, DQ, glossary, NLQ and ingestion but cannot justify five separate SaaS contracts.</t>
  </si>
  <si>
    <t>Full platform: Connectors, Assets, Ask Aura, Insights, Reporting, ETL/ELT, Glossary, Governance</t>
  </si>
  <si>
    <t>Annual stack cost avoided (see TCO Model sheet); time from zero to functioning data platform.</t>
  </si>
  <si>
    <t>Fivetran + dbt + Atlan + Monte Carlo + ThoughtSpot (the standard five-tool stack)</t>
  </si>
  <si>
    <t>One product covers the functional surface of five tools that would each need its own contract, security review, admin model and integration work. For a company under ~200 people, the integration tax between those five tools costs more engineering time than the tools save.</t>
  </si>
  <si>
    <t>Each individual capability is less deep than the category leader. This wins on breadth, TCO and integration cost - never on head-to-head feature depth.</t>
  </si>
  <si>
    <t>Customer-facing analytics POC without a licence commitment</t>
  </si>
  <si>
    <t>Product teams want to prototype embedded analytics but cannot commit to a BI vendor before validating demand.</t>
  </si>
  <si>
    <t>Insights + Reporting + connector registry over the product database</t>
  </si>
  <si>
    <t>Time to a demonstrable prototype; licence spend avoided on an unvalidated hypothesis.</t>
  </si>
  <si>
    <t>Looker embedded, Sisense, Power BI Embedded</t>
  </si>
  <si>
    <t>Prototype and prove demand before any vendor commitment. Embedded BI licensing is typically the single largest line item in a product analytics business case and it has to be signed before the value is proven.</t>
  </si>
  <si>
    <t>Not built for multi-tenant embedding - no tenant isolation, no white-labelling, no embed SDK.</t>
  </si>
  <si>
    <t>Warehouse cost visibility alongside governance (roadmap)</t>
  </si>
  <si>
    <t>Snowflake and Databricks spend is discovered monthly in arrears with no attribution to teams or queries.</t>
  </si>
  <si>
    <t>Governance - FinOps tile (planned; placeholder in current build)</t>
  </si>
  <si>
    <t>Warehouse spend variance; % of spend attributable to a team or workload.</t>
  </si>
  <si>
    <t>Select.dev, Keebo, CloudZero, Finout, Unravel</t>
  </si>
  <si>
    <t>The strategic argument is that quality, lineage and cost belong in the same governance pane rather than a separate FinOps tool with its own credentials into the warehouse.</t>
  </si>
  <si>
    <t>Do not demo this. The tile exists with no panel behind it. Mention only as roadmap, and only if asked.</t>
  </si>
  <si>
    <t>Government / Public Sector</t>
  </si>
  <si>
    <t>Data platform capability inside procurement constraints</t>
  </si>
  <si>
    <t>Multi-year OJEU/GeM-style procurement cycles mean a governance tool is 12-18 months from need to first login.</t>
  </si>
  <si>
    <t>Full platform, deployable inside the department's own network</t>
  </si>
  <si>
    <t>Elapsed time from need to working capability; procurement cycles avoided.</t>
  </si>
  <si>
    <t>Collibra, Informatica, Purview (all requiring full procurement)</t>
  </si>
  <si>
    <t>No licence means no procurement gate, so a directorate can start this quarter under existing delegated authority. In public sector this is frequently the decisive advantage - not features, but the ability to begin at all.</t>
  </si>
  <si>
    <t>Public bodies will still require security assurance, accessibility (WCAG) and supportability evidence. Free does not exempt it from assurance - plan for that conversation.</t>
  </si>
  <si>
    <t>Citizen data sensitivity register</t>
  </si>
  <si>
    <t>No single record of which datasets hold citizen personal data, who owns them, and under what lawful basis.</t>
  </si>
  <si>
    <t>Glossary classification / sensitivity / owner / steward + connector PII scoping</t>
  </si>
  <si>
    <t>% of datasets with named SIRO/owner and classification; DPIA and FOI response preparation time.</t>
  </si>
  <si>
    <t>BigID, Purview, Collibra, manual asset registers</t>
  </si>
  <si>
    <t>Produces the required register as a documented artefact without a discovery licence, and it can run entirely on-premise with no data leaving the department.</t>
  </si>
  <si>
    <t>Manual tagging, no automated discovery. Not a records-management or retention system.</t>
  </si>
  <si>
    <t>Read-only, logged analytical access to sensitive systems</t>
  </si>
  <si>
    <t>Analysts need query access to systems where write access or unlogged access is unacceptable.</t>
  </si>
  <si>
    <t>Reporting with server-enforced single read-only statements + query logging + connector-scoped access</t>
  </si>
  <si>
    <t>Audit findings on uncontrolled query access; % of analytical queries executed through a logged path.</t>
  </si>
  <si>
    <t>Native DB clients + manual policy, commercial SQL governance tools</t>
  </si>
  <si>
    <t>Read-only enforcement and query logging come with the tool rather than depending on every analyst configuring their own client correctly. Centralised guards beat distributed good intentions.</t>
  </si>
  <si>
    <t>Be explicit: user roles are client-side (localStorage) in the current build, not server-enforced RBAC. Access control must still be enforced at the database grant level.</t>
  </si>
  <si>
    <t>Hospitality &amp; Travel</t>
  </si>
  <si>
    <t>Property and channel performance visibility for GMs</t>
  </si>
  <si>
    <t>Property GMs have no self-serve view of occupancy, channel mix and revenue; they wait for a central pack.</t>
  </si>
  <si>
    <t>Insights KPI row + slice by channel/geography/loyalty/payment + Ask Aura</t>
  </si>
  <si>
    <t>Properties with self-serve access; decision latency on rate and channel actions.</t>
  </si>
  <si>
    <t>Power BI, Tableau, hospitality vertical BI products</t>
  </si>
  <si>
    <t>Every property GM can be given access without a seat cost, which is what makes distributed visibility viable across 40 or 400 properties. Per-seat pricing in a distributed-property business is prohibitive by design.</t>
  </si>
  <si>
    <t>No revenue-management modelling - this is visibility, not RM optimisation.</t>
  </si>
  <si>
    <t>Guest 360 assembled across booking, loyalty and property systems</t>
  </si>
  <si>
    <t>Guest identity is fragmented across PMS, booking engine and loyalty platform.</t>
  </si>
  <si>
    <t>Connector registry across sources + Assets discovery + Insights Customer 360 + Data Modeling wizard</t>
  </si>
  <si>
    <t>Sources unified into a guest view; time to a working guest 360 prototype.</t>
  </si>
  <si>
    <t>CDPs (Segment, Tealium), Salesforce Data Cloud</t>
  </si>
  <si>
    <t>Delivers an analytical guest 360 without CDP pricing, which is usually the blocker for mid-market hotel groups who need the insight but not the real-time activation.</t>
  </si>
  <si>
    <t>Analytical only - no identity resolution engine, no real-time activation or audience push to marketing channels.</t>
  </si>
  <si>
    <t>Consulting / Professional Services</t>
  </si>
  <si>
    <t>Win data engagements with a working demo instead of slides</t>
  </si>
  <si>
    <t>Every prospect gets the same deck; differentiation in presales is low and PoC costs are absorbed as pursuit cost.</t>
  </si>
  <si>
    <t>Full platform: connect prospect-shaped data, show catalog, NLQ, DQ scorecard, lineage and glossary end to end</t>
  </si>
  <si>
    <t>Win rate on data engagements; presales effort per pursuit; PoC cost absorbed.</t>
  </si>
  <si>
    <t>Vendor-led PoCs requiring partner licences or a vendor SE</t>
  </si>
  <si>
    <t>A live, working environment can be stood up per pursuit with no licence, no vendor SE dependency and no partner-tier constraint. It also demonstrates ACL's own IP rather than reselling someone else's product, which is a materially stronger positioning story.</t>
  </si>
  <si>
    <t>Set expectations before the demo: known gaps are server RBAC, automated lineage and FinOps. Discovering them live in front of a prospect is far more damaging than disclosing them up front.</t>
  </si>
  <si>
    <t>Accelerate the discovery phase of any data engagement</t>
  </si>
  <si>
    <t>The first 4-6 weeks of every engagement is manual estate discovery, interviews and spreadsheet inventories.</t>
  </si>
  <si>
    <t>Connectors + Assets discover-all + coverage cards + DQ scorecards to produce a baseline assessment</t>
  </si>
  <si>
    <t>Discovery phase duration (weeks to days); billable effort redeployed from inventory to advisory.</t>
  </si>
  <si>
    <t>Manual discovery, or a client-funded catalog licence</t>
  </si>
  <si>
    <t>Turns unbillable inventory grind into an automated baseline, so the same fee buys the client more advisory and gives the firm better margin. No licence to expense to the client and no procurement to wait for.</t>
  </si>
  <si>
    <t>Discovery is structural. Business context, ownership and process understanding still require the interviews.</t>
  </si>
  <si>
    <t>Measurable programme progress metrics for steering committees</t>
  </si>
  <si>
    <t>Programme status reporting is subjective; there is no objective measure of platform build-out progress.</t>
  </si>
  <si>
    <t>Assets summary cards (connectors/schemas/tables), DQ grades over time, glossary coverage, /health</t>
  </si>
  <si>
    <t>Connector and table counts, DQ grade distribution and glossary coverage as reportable programme KPIs.</t>
  </si>
  <si>
    <t>Manual tracking in PowerPoint and Excel</t>
  </si>
  <si>
    <t>Progress metrics fall out of the platform as a by-product instead of being assembled by a PMO every fortnight.</t>
  </si>
  <si>
    <t>No built-in trend history or reporting export - metrics must be captured point-in-time for the pack.</t>
  </si>
  <si>
    <t>Education</t>
  </si>
  <si>
    <t>Student data insight for non-technical academic staff</t>
  </si>
  <si>
    <t>Programme leads and registrars need enrolment, attainment and retention cuts but have no SQL capability or BI budget.</t>
  </si>
  <si>
    <t>Ask Aura self-serve + Insights + Reporting CSV export</t>
  </si>
  <si>
    <t>Questions answered without a central IT request; time to insight in retention interventions.</t>
  </si>
  <si>
    <t>Power BI, Tableau, sector-specific student analytics products</t>
  </si>
  <si>
    <t>Zero cost matters more here than almost anywhere - education budgets rarely accommodate per-seat analytics for academic staff, so the alternative is genuinely nothing rather than a competing tool.</t>
  </si>
  <si>
    <t>Student data sensitivity requires care with the AI provider choice - use a local model where student records are in scope.</t>
  </si>
  <si>
    <t>Student data protection register</t>
  </si>
  <si>
    <t>Student personal data holdings are undocumented; DPO cannot evidence what is held or who is accountable.</t>
  </si>
  <si>
    <t>Glossary sensitivity / classification / owner / steward tagging + connector PII scoping</t>
  </si>
  <si>
    <t>% of student data columns classified with a named owner; DPIA preparation time.</t>
  </si>
  <si>
    <t>Purview, manual information asset registers</t>
  </si>
  <si>
    <t>Produces the DPO's required evidence artefact at no cost, in an institution that will not fund a governance platform.</t>
  </si>
  <si>
    <t>Manual classification, no automated scanning, no retention or subject-access-request handling.</t>
  </si>
  <si>
    <t>Capability Area</t>
  </si>
  <si>
    <t>Market Tools Clients Compare Against</t>
  </si>
  <si>
    <t>How They Charge</t>
  </si>
  <si>
    <t>DataHive Equivalent</t>
  </si>
  <si>
    <t>Where DataHive Genuinely Wins</t>
  </si>
  <si>
    <t>Where DataHive Loses (Do Not Fight Here)</t>
  </si>
  <si>
    <t>Recommended Positioning Line</t>
  </si>
  <si>
    <t>Catalog &amp; Discovery</t>
  </si>
  <si>
    <t>Collibra, Alation, Atlan, data.world, Microsoft Purview</t>
  </si>
  <si>
    <t>Per user / per data source / per scanned volume, annual</t>
  </si>
  <si>
    <t>Connectors registry + Assets discovery, structure panels, coverage cards</t>
  </si>
  <si>
    <t>Unlimited users at zero cost - discovery is most valuable when everyone can browse, and per-seat pricing directly discourages that. Catalog is fused with SQL, NLQ and DQ rather than being a separate tab.</t>
  </si>
  <si>
    <t>No usage-based popularity, no automated column profiling in catalog, no crowd-sourced curation, no lineage-driven impact analysis.</t>
  </si>
  <si>
    <t>Start governing with the whole team on day one; upgrade to an enterprise EDM platform when curation workflow, not discovery, becomes the constraint.</t>
  </si>
  <si>
    <t>Business Glossary &amp; Semantics</t>
  </si>
  <si>
    <t>Collibra, Informatica CDGC, Purview, Atlan</t>
  </si>
  <si>
    <t>Per user, annual, usually bundled into a governance suite</t>
  </si>
  <si>
    <t>Glossary template -&gt; upload -&gt; sync to Postgres/Snowflake column comments</t>
  </si>
  <si>
    <t>Definitions are written back into the database, so they travel to every SQL client and BI tool automatically instead of living only in a vendor UI.</t>
  </si>
  <si>
    <t>No approval workflow, term hierarchies, versioning, or stewardship task management.</t>
  </si>
  <si>
    <t>A definition that only lives in a governance tool goes stale; DataHive puts it where the data is.</t>
  </si>
  <si>
    <t>Natural Language Query</t>
  </si>
  <si>
    <t>ThoughtSpot, Power BI Copilot, Snowflake Cortex Analyst, Databricks Genie, Tableau Pulse</t>
  </si>
  <si>
    <t>Per user or per capacity/credit consumption</t>
  </si>
  <si>
    <t>Ask Aura: catalog context -&gt; plan -&gt; NL2SQL -&gt; read-only guards -&gt; capped rows -&gt; narrative + SQL + assumptions</t>
  </si>
  <si>
    <t>Bring-your-own-LLM including fully local Ollama, so regulated and air-gapped estates can adopt NLQ at all. Cross-connector rather than locked to one warehouse. Every answer exposes its SQL and assumptions.</t>
  </si>
  <si>
    <t>Frontier-model accuracy when using a local model. No conversational memory, no chart generation, no fine-tuned semantic layer.</t>
  </si>
  <si>
    <t>The only NLQ your information governance team will actually approve - because nothing leaves your network.</t>
  </si>
  <si>
    <t>Ingestion &amp; Transformation</t>
  </si>
  <si>
    <t>Fivetran, Matillion, Talend, Informatica IICS, Azure Data Factory, dbt</t>
  </si>
  <si>
    <t>Per row / per credit / per connector - consumption pricing</t>
  </si>
  <si>
    <t>ETL/ELT script generation in SQL, Python or PySpark + saved pipeline definitions + runtime secret resolution</t>
  </si>
  <si>
    <t>Generated code is portable and client-owned, runs on the client's own compute, and has zero marginal cost per feed - so the long tail of small feeds finally gets onboarded.</t>
  </si>
  <si>
    <t>No orchestration, scheduling, retries, backfills, CDC, or SLA monitoring. This is not a replacement for Airflow, ADF or Fivetran in production.</t>
  </si>
  <si>
    <t>Generate the pipeline here, run it anywhere - you keep the code and you never pay per row.</t>
  </si>
  <si>
    <t>Data Quality</t>
  </si>
  <si>
    <t>Monte Carlo, Anomalo, Soda, Great Expectations, Informatica DQ, Collibra DQ</t>
  </si>
  <si>
    <t>Per table / per monitor / per volume monitored</t>
  </si>
  <si>
    <t>DQ scorecards: weighted Completeness, Uniqueness, Validity, Schema, Volume with documented scoring logic</t>
  </si>
  <si>
    <t>Transparent, auditable scoring an audit committee can sign off, and no per-table pricing - so you profile everything, not just the tables you could afford to monitor.</t>
  </si>
  <si>
    <t>No continuous monitoring, alerting, freshness SLAs, anomaly detection or incident management.</t>
  </si>
  <si>
    <t>A trust gate before consumption, not an observability platform - and it covers your whole estate because it costs nothing per table.</t>
  </si>
  <si>
    <t>Lineage</t>
  </si>
  <si>
    <t>MANTA, Octopai, Atlan, Purview</t>
  </si>
  <si>
    <t>Per source system parsed, annual</t>
  </si>
  <si>
    <t>Governance - Data Lineage visual map with medallion layers and path highlighting</t>
  </si>
  <si>
    <t>A stakeholder-ready lineage narrative in days rather than a multi-month parser deployment.</t>
  </si>
  <si>
    <t>Largely presentational today, not parsed from live code. Loses decisively on automated column-level lineage and impact analysis.</t>
  </si>
  <si>
    <t>Use for the executive and audit narrative. Be upfront that automated parsing is not the current focus.</t>
  </si>
  <si>
    <t>Data Modeling</t>
  </si>
  <si>
    <t>erwin, SqlDBM, Ellie.ai</t>
  </si>
  <si>
    <t>Per modeller seat, annual</t>
  </si>
  <si>
    <t>Data Modeling wizard: scope -&gt; propose model -&gt; review keys -&gt; generate DDL + ingestion scripts</t>
  </si>
  <si>
    <t>Produces the diagram and the runnable code in one pass, at no cost, from the live catalog rather than from a blank canvas.</t>
  </si>
  <si>
    <t>No reverse-engineering of complex existing models, no model version control, no forward/backward engineering workflows.</t>
  </si>
  <si>
    <t>A first-draft star schema with working DDL in an afternoon - your modeller reviews rather than starts from zero.</t>
  </si>
  <si>
    <t>Secrets &amp; Connection Management</t>
  </si>
  <si>
    <t>HashiCorp Vault, CyberArk, cloud secret managers</t>
  </si>
  <si>
    <t>Per secret / per node / per cluster</t>
  </si>
  <si>
    <t>Encrypted connector registry + runtime-env resolution so generated scripts never carry credentials</t>
  </si>
  <si>
    <t>Solves the analytics-layer credential sprawl problem as a by-product of the connector engineers already need, so it is adopted automatically.</t>
  </si>
  <si>
    <t>Not an enterprise secrets platform. No HSM backing, dynamic secrets, leasing or automated rotation.</t>
  </si>
  <si>
    <t>Complements Vault at the analytics layer; for POCs and mid-size estates it removes hard-coded credentials on day one.</t>
  </si>
  <si>
    <t>FinOps</t>
  </si>
  <si>
    <t>% of managed spend or per-account subscription</t>
  </si>
  <si>
    <t>Governance - FinOps tile (planned - no panel in current build)</t>
  </si>
  <si>
    <t>Roadmap argument only: cost governance belongs beside quality and lineage rather than in a separate tool with its own warehouse credentials.</t>
  </si>
  <si>
    <t>Nothing shipped. Any comparison here is a forward-looking statement.</t>
  </si>
  <si>
    <t>Roadmap. Do not demo, do not include in a scoped commitment.</t>
  </si>
  <si>
    <t>Access &amp; Operating Model</t>
  </si>
  <si>
    <t>Enterprise RBAC in Collibra, Alation, Immuta, native warehouse RBAC</t>
  </si>
  <si>
    <t>Per user, or bundled with the governance platform</t>
  </si>
  <si>
    <t>Admin: user groups, personas, viewer/editor/admin roles</t>
  </si>
  <si>
    <t>Useful for designing and demonstrating the target operating model early in an engagement.</t>
  </si>
  <si>
    <t>Client-side (localStorage) in the current build, not server-enforced RBAC. This is the single most important gap to disclose.</t>
  </si>
  <si>
    <t>Use it to design the operating model; enforce real access control at the database grant layer until server RBAC ships.</t>
  </si>
  <si>
    <t>Indicative 3-Year TCO Comparison - Standard Modern Data Stack vs DataHive</t>
  </si>
  <si>
    <t>ALL PRICES BELOW ARE PLACEHOLDERS. Replace blue cells with real quotes before showing a client. Do not present vendor pricing you have not verified.</t>
  </si>
  <si>
    <t>Assumptions</t>
  </si>
  <si>
    <t>Analyst / business users requiring access</t>
  </si>
  <si>
    <t>Data engineers</t>
  </si>
  <si>
    <t>Data sources to catalog</t>
  </si>
  <si>
    <t>Tables under DQ coverage</t>
  </si>
  <si>
    <t>Years in comparison</t>
  </si>
  <si>
    <t>Annual Licence Cost by Category (placeholder unit rates)</t>
  </si>
  <si>
    <t>Capability</t>
  </si>
  <si>
    <t>Typical Vendor</t>
  </si>
  <si>
    <t>Unit Basis</t>
  </si>
  <si>
    <t>Units</t>
  </si>
  <si>
    <t>Unit Rate (USD)</t>
  </si>
  <si>
    <t>Annual Cost</t>
  </si>
  <si>
    <t>3-Year Cost</t>
  </si>
  <si>
    <t>DataHive Cost</t>
  </si>
  <si>
    <t>Catalog &amp; Governance</t>
  </si>
  <si>
    <t>Collibra / Alation / Atlan</t>
  </si>
  <si>
    <t>Per user/yr</t>
  </si>
  <si>
    <t>ThoughtSpot / Power BI Copilot</t>
  </si>
  <si>
    <t>Ingestion</t>
  </si>
  <si>
    <t>Fivetran / Matillion</t>
  </si>
  <si>
    <t>Per source/yr</t>
  </si>
  <si>
    <t>Data Quality / Observability</t>
  </si>
  <si>
    <t>Monte Carlo / Anomalo</t>
  </si>
  <si>
    <t>Per table/yr</t>
  </si>
  <si>
    <t>MANTA / Octopai</t>
  </si>
  <si>
    <t>erwin / SqlDBM</t>
  </si>
  <si>
    <t>Per modeller/yr</t>
  </si>
  <si>
    <t>Total licence cost</t>
  </si>
  <si>
    <t>Day rate (USD) -&gt;</t>
  </si>
  <si>
    <t>Days/yr -&gt;</t>
  </si>
  <si>
    <t>Integration / admin effort between tools (engineer-days per year)</t>
  </si>
  <si>
    <t>Day rate (USD)</t>
  </si>
  <si>
    <t>3-YEAR TOTAL COST OF OWNERSHIP</t>
  </si>
  <si>
    <t>3-year saving with DataHive</t>
  </si>
  <si>
    <t>Note: DataHive is not zero-effort. The 30% factor on line above reflects that one platform still needs administration, but avoids the cross-tool integration tax. Adjust it honestly.</t>
  </si>
  <si>
    <t>How to position 'free' without devaluing DataHive</t>
  </si>
  <si>
    <t>1. Free is a wedge, not a moat</t>
  </si>
  <si>
    <t>Any competitor can discount to zero for a pursuit. Price alone is the weakest durable advantage you have. Lead with the three things that are genuinely hard to copy, and let free be the reason there is no reason to say no:</t>
  </si>
  <si>
    <t>•  Runs entirely inside the client network, including a local LLM - so regulated and air-gapped estates can adopt NLQ at all.</t>
  </si>
  <si>
    <t>•  Glossary writes back into the database, so definitions travel to every tool rather than living in a vendor UI.</t>
  </si>
  <si>
    <t>•  Generated pipeline code is portable and client-owned - no proprietary runtime, no consumption pricing, no lock-in.</t>
  </si>
  <si>
    <t>•  One product covering the surface of five, which removes the integration tax rather than just the licence cost.</t>
  </si>
  <si>
    <t>2. Free changes behaviour, and that is the real argument</t>
  </si>
  <si>
    <t>The strongest version of the pricing argument is not 'you save $300K'. It is that per-seat and per-table pricing makes clients ration exactly the things that only work at full coverage. Catalogs get licensed to 30 of 300 people, so discovery never becomes a habit. DQ monitors get bought for the 50 'important' tables, and the leakage is in the other 350. Say that instead of quoting a discount.</t>
  </si>
  <si>
    <t>3. Answer 'what is the catch?' before it is asked</t>
  </si>
  <si>
    <t>Every buyer will ask why it is free and who supports it. Have a clear, consistent answer covering: the commercial model (ACL IP, monetised through services and engagements rather than licence), the support model and SLA, the roadmap owner, and what happens to the client if ACL stops investing. Ambiguity here reads as risk and will sink the deal faster than any missing feature.</t>
  </si>
  <si>
    <t>4. Disclose the gaps first, and in writing</t>
  </si>
  <si>
    <t>The four that matter, in order of how badly they hurt if discovered live in a demo:</t>
  </si>
  <si>
    <t>•  Access control is client-side (localStorage), not server-enforced RBAC. Real enforcement must be at the database grant layer.</t>
  </si>
  <si>
    <t>•  Lineage is presentational, not parsed from live code. Never compare it to MANTA on automated column-level lineage.</t>
  </si>
  <si>
    <t>•  FinOps is an empty tile. Roadmap only - do not demo it.</t>
  </si>
  <si>
    <t>•  No orchestration or scheduling in ETL. It generates scripts; production runs need Airflow, ADF or equivalent.</t>
  </si>
  <si>
    <t>Disclosing these makes every other claim more credible. Being caught by them destroys the credibility of the whole demo.</t>
  </si>
  <si>
    <t>5. Where DataHive should not be positioned</t>
  </si>
  <si>
    <t>Head-to-head feature-depth bake-offs against a category leader, Tier-1 production estates needing enterprise RBAC and SLA-backed support, real-time or streaming use cases, and multi-tenant embedded analytics. Walking away from these protects the wins elsewhere.</t>
  </si>
  <si>
    <t>6. Sheet guide</t>
  </si>
  <si>
    <t>•  Domain Benefit Use Cases - 37 industry-framed use cases with the competitive answer and the honest caveat on each row.</t>
  </si>
  <si>
    <t>•  Competitive Positioning - by capability area: who you are up against, where you win, where you lose, and the line to use.</t>
  </si>
  <si>
    <t>•  TCO Model - working formulas with placeholder rates. Replace the blue/yellow cells with verified quotes before any client sees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</si>
</sst>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0\);\-"/>
    <numFmt numFmtId="165" formatCode="\$#,##0"/>
  </numFmts>
  <fonts count="16" x14ac:knownFonts="1">
    <font>
      <sz val="11"/>
      <color theme="1"/>
      <name val="Calibri"/>
      <family val="2"/>
      <charset val="1"/>
    </font>
    <font>
      <b/>
      <sz val="10"/>
      <color rgb="FFFFFFFF"/>
      <name val="Arial"/>
      <charset val="1"/>
    </font>
    <font>
      <sz val="9"/>
      <name val="Arial"/>
      <charset val="1"/>
    </font>
    <font>
      <b/>
      <sz val="9"/>
      <name val="Arial"/>
      <charset val="1"/>
    </font>
    <font>
      <b/>
      <sz val="12"/>
      <color rgb="FF1F3864"/>
      <name val="Arial"/>
      <charset val="1"/>
    </font>
    <font>
      <b/>
      <sz val="9"/>
      <color rgb="FFC00000"/>
      <name val="Arial"/>
      <charset val="1"/>
    </font>
    <font>
      <b/>
      <sz val="10"/>
      <name val="Arial"/>
      <charset val="1"/>
    </font>
    <font>
      <sz val="9"/>
      <color rgb="FF0000FF"/>
      <name val="Arial"/>
      <charset val="1"/>
    </font>
    <font>
      <b/>
      <sz val="10"/>
      <color rgb="FF006400"/>
      <name val="Arial"/>
      <charset val="1"/>
    </font>
    <font>
      <i/>
      <sz val="9"/>
      <name val="Arial"/>
      <charset val="1"/>
    </font>
    <font>
      <b/>
      <sz val="13"/>
      <color rgb="FF1F3864"/>
      <name val="Arial"/>
      <charset val="1"/>
    </font>
    <font>
      <b/>
      <sz val="10"/>
      <color rgb="FF1F3864"/>
      <name val="Arial"/>
      <charset val="1"/>
    </font>
    <font>
      <b/>
      <sz val="12"/>
      <color rgb="FFFFFFFF"/>
      <name val="Calibri"/>
      <family val="2"/>
    </font>
    <font>
      <sz val="12"/>
      <color theme="1"/>
      <name val="Calibri"/>
      <family val="2"/>
    </font>
    <font>
      <sz val="12"/>
      <name val="Calibri"/>
      <family val="2"/>
    </font>
    <font>
      <b/>
      <sz val="12"/>
      <name val="Calibri"/>
      <family val="2"/>
    </font>
  </fonts>
  <fills count="5">
    <fill>
      <patternFill patternType="none"/>
    </fill>
    <fill>
      <patternFill patternType="gray125"/>
    </fill>
    <fill>
      <patternFill patternType="solid">
        <fgColor rgb="FF1F3864"/>
        <bgColor rgb="FF333333"/>
      </patternFill>
    </fill>
    <fill>
      <patternFill patternType="solid">
        <fgColor rgb="FFF2F5FA"/>
        <bgColor rgb="FFFFFFFF"/>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4" fillId="0" borderId="0" xfId="0" applyFont="1"/>
    <xf numFmtId="0" fontId="5" fillId="0" borderId="0" xfId="0" applyFont="1"/>
    <xf numFmtId="0" fontId="6" fillId="0" borderId="0" xfId="0" applyFont="1"/>
    <xf numFmtId="0" fontId="2" fillId="0" borderId="0" xfId="0" applyFont="1"/>
    <xf numFmtId="0" fontId="7" fillId="4" borderId="0" xfId="0" applyFont="1" applyFill="1"/>
    <xf numFmtId="0" fontId="1" fillId="2" borderId="0" xfId="0" applyFont="1" applyFill="1" applyAlignment="1">
      <alignment vertical="center" wrapText="1"/>
    </xf>
    <xf numFmtId="164" fontId="7" fillId="4" borderId="0" xfId="0" applyNumberFormat="1" applyFont="1" applyFill="1"/>
    <xf numFmtId="164" fontId="2" fillId="0" borderId="0" xfId="0" applyNumberFormat="1" applyFont="1"/>
    <xf numFmtId="0" fontId="3" fillId="0" borderId="0" xfId="0" applyFont="1"/>
    <xf numFmtId="0" fontId="2" fillId="0" borderId="0" xfId="0" applyFont="1" applyAlignment="1">
      <alignment horizontal="right"/>
    </xf>
    <xf numFmtId="164" fontId="3" fillId="0" borderId="0" xfId="0" applyNumberFormat="1" applyFont="1"/>
    <xf numFmtId="165" fontId="7" fillId="4" borderId="0" xfId="0" applyNumberFormat="1" applyFont="1" applyFill="1"/>
    <xf numFmtId="164" fontId="0" fillId="0" borderId="0" xfId="0" applyNumberFormat="1"/>
    <xf numFmtId="164" fontId="6" fillId="0" borderId="0" xfId="0" applyNumberFormat="1" applyFont="1"/>
    <xf numFmtId="0" fontId="8" fillId="0" borderId="0" xfId="0" applyFont="1"/>
    <xf numFmtId="164" fontId="8" fillId="0" borderId="0" xfId="0" applyNumberFormat="1" applyFont="1"/>
    <xf numFmtId="0" fontId="9" fillId="0" borderId="0" xfId="0" applyFont="1"/>
    <xf numFmtId="0" fontId="10" fillId="0" borderId="0" xfId="0" applyFont="1" applyAlignment="1">
      <alignment vertical="top" wrapText="1"/>
    </xf>
    <xf numFmtId="0" fontId="2" fillId="0" borderId="0" xfId="0" applyFont="1" applyAlignment="1">
      <alignment vertical="top" wrapText="1"/>
    </xf>
    <xf numFmtId="0" fontId="11" fillId="0" borderId="0" xfId="0" applyFont="1" applyAlignment="1">
      <alignment vertical="top" wrapText="1"/>
    </xf>
    <xf numFmtId="0" fontId="12" fillId="2" borderId="1" xfId="0" applyFont="1" applyFill="1" applyBorder="1" applyAlignment="1">
      <alignment vertical="center" wrapText="1"/>
    </xf>
    <xf numFmtId="0" fontId="13" fillId="0" borderId="0" xfId="0" applyFont="1" applyAlignment="1">
      <alignment vertical="center"/>
    </xf>
    <xf numFmtId="0" fontId="14" fillId="3" borderId="1" xfId="0" applyFont="1" applyFill="1" applyBorder="1" applyAlignment="1">
      <alignment vertical="center" wrapText="1"/>
    </xf>
    <xf numFmtId="0" fontId="15" fillId="3" borderId="1" xfId="0" applyFont="1" applyFill="1" applyBorder="1" applyAlignment="1">
      <alignment vertical="center" wrapText="1"/>
    </xf>
    <xf numFmtId="0" fontId="14" fillId="0" borderId="1" xfId="0" applyFont="1" applyBorder="1" applyAlignment="1">
      <alignment vertical="center" wrapText="1"/>
    </xf>
    <xf numFmtId="0" fontId="1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400"/>
      <rgbColor rgb="FF000080"/>
      <rgbColor rgb="FF808000"/>
      <rgbColor rgb="FF800080"/>
      <rgbColor rgb="FF008080"/>
      <rgbColor rgb="FFBFBFBF"/>
      <rgbColor rgb="FF808080"/>
      <rgbColor rgb="FF9999FF"/>
      <rgbColor rgb="FF993366"/>
      <rgbColor rgb="FFF2F5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zoomScaleNormal="100" workbookViewId="0">
      <pane xSplit="2" ySplit="1" topLeftCell="C2" activePane="bottomRight" state="frozen"/>
      <selection pane="topRight" activeCell="C1" sqref="C1"/>
      <selection pane="bottomLeft" activeCell="A2" sqref="A2"/>
      <selection pane="bottomRight" activeCell="A2" sqref="A2"/>
    </sheetView>
  </sheetViews>
  <sheetFormatPr baseColWidth="10" defaultColWidth="8.6640625" defaultRowHeight="16" x14ac:dyDescent="0.2"/>
  <cols>
    <col min="1" max="1" width="5" style="22" customWidth="1"/>
    <col min="2" max="2" width="22" style="22" customWidth="1"/>
    <col min="3" max="3" width="34" style="22" customWidth="1"/>
    <col min="4" max="4" width="42" style="22" customWidth="1"/>
    <col min="5" max="5" width="40" style="22" customWidth="1"/>
    <col min="6" max="6" width="34" style="22" customWidth="1"/>
    <col min="7" max="7" width="26" style="22" customWidth="1"/>
    <col min="8" max="8" width="62" style="22" customWidth="1"/>
    <col min="9" max="9" width="40" style="22" customWidth="1"/>
    <col min="10" max="16384" width="8.6640625" style="22"/>
  </cols>
  <sheetData>
    <row r="1" spans="1:9" ht="31.5" customHeight="1" x14ac:dyDescent="0.2">
      <c r="A1" s="21" t="s">
        <v>0</v>
      </c>
      <c r="B1" s="21" t="s">
        <v>1</v>
      </c>
      <c r="C1" s="21" t="s">
        <v>2</v>
      </c>
      <c r="D1" s="21" t="s">
        <v>3</v>
      </c>
      <c r="E1" s="21" t="s">
        <v>4</v>
      </c>
      <c r="F1" s="21" t="s">
        <v>5</v>
      </c>
      <c r="G1" s="21" t="s">
        <v>6</v>
      </c>
      <c r="H1" s="21" t="s">
        <v>7</v>
      </c>
      <c r="I1" s="21" t="s">
        <v>8</v>
      </c>
    </row>
    <row r="2" spans="1:9" ht="108" customHeight="1" x14ac:dyDescent="0.2">
      <c r="A2" s="23">
        <v>1</v>
      </c>
      <c r="B2" s="23" t="s">
        <v>9</v>
      </c>
      <c r="C2" s="24" t="s">
        <v>10</v>
      </c>
      <c r="D2" s="23" t="s">
        <v>11</v>
      </c>
      <c r="E2" s="23" t="s">
        <v>12</v>
      </c>
      <c r="F2" s="23" t="s">
        <v>13</v>
      </c>
      <c r="G2" s="23" t="s">
        <v>14</v>
      </c>
      <c r="H2" s="23" t="s">
        <v>15</v>
      </c>
      <c r="I2" s="23" t="s">
        <v>16</v>
      </c>
    </row>
    <row r="3" spans="1:9" ht="108" customHeight="1" x14ac:dyDescent="0.2">
      <c r="A3" s="23">
        <v>2</v>
      </c>
      <c r="B3" s="23" t="s">
        <v>9</v>
      </c>
      <c r="C3" s="24" t="s">
        <v>17</v>
      </c>
      <c r="D3" s="23" t="s">
        <v>18</v>
      </c>
      <c r="E3" s="23" t="s">
        <v>19</v>
      </c>
      <c r="F3" s="23" t="s">
        <v>20</v>
      </c>
      <c r="G3" s="23" t="s">
        <v>21</v>
      </c>
      <c r="H3" s="23" t="s">
        <v>22</v>
      </c>
      <c r="I3" s="23" t="s">
        <v>23</v>
      </c>
    </row>
    <row r="4" spans="1:9" ht="108" customHeight="1" x14ac:dyDescent="0.2">
      <c r="A4" s="23">
        <v>3</v>
      </c>
      <c r="B4" s="23" t="s">
        <v>9</v>
      </c>
      <c r="C4" s="24" t="s">
        <v>24</v>
      </c>
      <c r="D4" s="23" t="s">
        <v>25</v>
      </c>
      <c r="E4" s="23" t="s">
        <v>26</v>
      </c>
      <c r="F4" s="23" t="s">
        <v>27</v>
      </c>
      <c r="G4" s="23" t="s">
        <v>28</v>
      </c>
      <c r="H4" s="23" t="s">
        <v>29</v>
      </c>
      <c r="I4" s="23" t="s">
        <v>30</v>
      </c>
    </row>
    <row r="5" spans="1:9" ht="108" customHeight="1" x14ac:dyDescent="0.2">
      <c r="A5" s="25">
        <v>4</v>
      </c>
      <c r="B5" s="25" t="s">
        <v>31</v>
      </c>
      <c r="C5" s="26" t="s">
        <v>32</v>
      </c>
      <c r="D5" s="25" t="s">
        <v>33</v>
      </c>
      <c r="E5" s="25" t="s">
        <v>34</v>
      </c>
      <c r="F5" s="25" t="s">
        <v>35</v>
      </c>
      <c r="G5" s="25" t="s">
        <v>36</v>
      </c>
      <c r="H5" s="25" t="s">
        <v>37</v>
      </c>
      <c r="I5" s="25" t="s">
        <v>38</v>
      </c>
    </row>
    <row r="6" spans="1:9" ht="108" customHeight="1" x14ac:dyDescent="0.2">
      <c r="A6" s="25">
        <v>5</v>
      </c>
      <c r="B6" s="25" t="s">
        <v>31</v>
      </c>
      <c r="C6" s="26" t="s">
        <v>39</v>
      </c>
      <c r="D6" s="25" t="s">
        <v>40</v>
      </c>
      <c r="E6" s="25" t="s">
        <v>41</v>
      </c>
      <c r="F6" s="25" t="s">
        <v>42</v>
      </c>
      <c r="G6" s="25" t="s">
        <v>43</v>
      </c>
      <c r="H6" s="25" t="s">
        <v>44</v>
      </c>
      <c r="I6" s="25" t="s">
        <v>45</v>
      </c>
    </row>
    <row r="7" spans="1:9" ht="108" customHeight="1" x14ac:dyDescent="0.2">
      <c r="A7" s="25">
        <v>6</v>
      </c>
      <c r="B7" s="25" t="s">
        <v>31</v>
      </c>
      <c r="C7" s="26" t="s">
        <v>46</v>
      </c>
      <c r="D7" s="25" t="s">
        <v>47</v>
      </c>
      <c r="E7" s="25" t="s">
        <v>48</v>
      </c>
      <c r="F7" s="25" t="s">
        <v>49</v>
      </c>
      <c r="G7" s="25" t="s">
        <v>50</v>
      </c>
      <c r="H7" s="25" t="s">
        <v>51</v>
      </c>
      <c r="I7" s="25" t="s">
        <v>52</v>
      </c>
    </row>
    <row r="8" spans="1:9" ht="108" customHeight="1" x14ac:dyDescent="0.2">
      <c r="A8" s="23">
        <v>7</v>
      </c>
      <c r="B8" s="23" t="s">
        <v>53</v>
      </c>
      <c r="C8" s="24" t="s">
        <v>54</v>
      </c>
      <c r="D8" s="23" t="s">
        <v>55</v>
      </c>
      <c r="E8" s="23" t="s">
        <v>56</v>
      </c>
      <c r="F8" s="23" t="s">
        <v>57</v>
      </c>
      <c r="G8" s="23" t="s">
        <v>58</v>
      </c>
      <c r="H8" s="23" t="s">
        <v>59</v>
      </c>
      <c r="I8" s="23" t="s">
        <v>60</v>
      </c>
    </row>
    <row r="9" spans="1:9" ht="108" customHeight="1" x14ac:dyDescent="0.2">
      <c r="A9" s="23">
        <v>8</v>
      </c>
      <c r="B9" s="23" t="s">
        <v>53</v>
      </c>
      <c r="C9" s="24" t="s">
        <v>61</v>
      </c>
      <c r="D9" s="23" t="s">
        <v>62</v>
      </c>
      <c r="E9" s="23" t="s">
        <v>63</v>
      </c>
      <c r="F9" s="23" t="s">
        <v>64</v>
      </c>
      <c r="G9" s="23" t="s">
        <v>65</v>
      </c>
      <c r="H9" s="23" t="s">
        <v>66</v>
      </c>
      <c r="I9" s="23" t="s">
        <v>67</v>
      </c>
    </row>
    <row r="10" spans="1:9" ht="108" customHeight="1" x14ac:dyDescent="0.2">
      <c r="A10" s="23">
        <v>9</v>
      </c>
      <c r="B10" s="23" t="s">
        <v>53</v>
      </c>
      <c r="C10" s="24" t="s">
        <v>68</v>
      </c>
      <c r="D10" s="23" t="s">
        <v>69</v>
      </c>
      <c r="E10" s="23" t="s">
        <v>70</v>
      </c>
      <c r="F10" s="23" t="s">
        <v>71</v>
      </c>
      <c r="G10" s="23" t="s">
        <v>72</v>
      </c>
      <c r="H10" s="23" t="s">
        <v>73</v>
      </c>
      <c r="I10" s="23" t="s">
        <v>74</v>
      </c>
    </row>
    <row r="11" spans="1:9" ht="108" customHeight="1" x14ac:dyDescent="0.2">
      <c r="A11" s="25">
        <v>10</v>
      </c>
      <c r="B11" s="25" t="s">
        <v>75</v>
      </c>
      <c r="C11" s="26" t="s">
        <v>76</v>
      </c>
      <c r="D11" s="25" t="s">
        <v>77</v>
      </c>
      <c r="E11" s="25" t="s">
        <v>78</v>
      </c>
      <c r="F11" s="25" t="s">
        <v>79</v>
      </c>
      <c r="G11" s="25" t="s">
        <v>80</v>
      </c>
      <c r="H11" s="25" t="s">
        <v>81</v>
      </c>
      <c r="I11" s="25" t="s">
        <v>82</v>
      </c>
    </row>
    <row r="12" spans="1:9" ht="108" customHeight="1" x14ac:dyDescent="0.2">
      <c r="A12" s="25">
        <v>11</v>
      </c>
      <c r="B12" s="25" t="s">
        <v>75</v>
      </c>
      <c r="C12" s="26" t="s">
        <v>83</v>
      </c>
      <c r="D12" s="25" t="s">
        <v>84</v>
      </c>
      <c r="E12" s="25" t="s">
        <v>85</v>
      </c>
      <c r="F12" s="25" t="s">
        <v>86</v>
      </c>
      <c r="G12" s="25" t="s">
        <v>87</v>
      </c>
      <c r="H12" s="25" t="s">
        <v>88</v>
      </c>
      <c r="I12" s="25" t="s">
        <v>89</v>
      </c>
    </row>
    <row r="13" spans="1:9" ht="108" customHeight="1" x14ac:dyDescent="0.2">
      <c r="A13" s="25">
        <v>12</v>
      </c>
      <c r="B13" s="25" t="s">
        <v>75</v>
      </c>
      <c r="C13" s="26" t="s">
        <v>90</v>
      </c>
      <c r="D13" s="25" t="s">
        <v>91</v>
      </c>
      <c r="E13" s="25" t="s">
        <v>92</v>
      </c>
      <c r="F13" s="25" t="s">
        <v>93</v>
      </c>
      <c r="G13" s="25" t="s">
        <v>94</v>
      </c>
      <c r="H13" s="25" t="s">
        <v>95</v>
      </c>
      <c r="I13" s="25" t="s">
        <v>96</v>
      </c>
    </row>
    <row r="14" spans="1:9" ht="108" customHeight="1" x14ac:dyDescent="0.2">
      <c r="A14" s="23">
        <v>13</v>
      </c>
      <c r="B14" s="23" t="s">
        <v>97</v>
      </c>
      <c r="C14" s="24" t="s">
        <v>98</v>
      </c>
      <c r="D14" s="23" t="s">
        <v>99</v>
      </c>
      <c r="E14" s="23" t="s">
        <v>100</v>
      </c>
      <c r="F14" s="23" t="s">
        <v>101</v>
      </c>
      <c r="G14" s="23" t="s">
        <v>102</v>
      </c>
      <c r="H14" s="23" t="s">
        <v>103</v>
      </c>
      <c r="I14" s="23" t="s">
        <v>104</v>
      </c>
    </row>
    <row r="15" spans="1:9" ht="108" customHeight="1" x14ac:dyDescent="0.2">
      <c r="A15" s="23">
        <v>14</v>
      </c>
      <c r="B15" s="23" t="s">
        <v>97</v>
      </c>
      <c r="C15" s="24" t="s">
        <v>105</v>
      </c>
      <c r="D15" s="23" t="s">
        <v>106</v>
      </c>
      <c r="E15" s="23" t="s">
        <v>107</v>
      </c>
      <c r="F15" s="23" t="s">
        <v>108</v>
      </c>
      <c r="G15" s="23" t="s">
        <v>109</v>
      </c>
      <c r="H15" s="23" t="s">
        <v>110</v>
      </c>
      <c r="I15" s="23" t="s">
        <v>111</v>
      </c>
    </row>
    <row r="16" spans="1:9" ht="108" customHeight="1" x14ac:dyDescent="0.2">
      <c r="A16" s="23">
        <v>15</v>
      </c>
      <c r="B16" s="23" t="s">
        <v>97</v>
      </c>
      <c r="C16" s="24" t="s">
        <v>112</v>
      </c>
      <c r="D16" s="23" t="s">
        <v>113</v>
      </c>
      <c r="E16" s="23" t="s">
        <v>114</v>
      </c>
      <c r="F16" s="23" t="s">
        <v>115</v>
      </c>
      <c r="G16" s="23" t="s">
        <v>116</v>
      </c>
      <c r="H16" s="23" t="s">
        <v>117</v>
      </c>
      <c r="I16" s="23" t="s">
        <v>118</v>
      </c>
    </row>
    <row r="17" spans="1:9" ht="108" customHeight="1" x14ac:dyDescent="0.2">
      <c r="A17" s="25">
        <v>16</v>
      </c>
      <c r="B17" s="25" t="s">
        <v>119</v>
      </c>
      <c r="C17" s="26" t="s">
        <v>120</v>
      </c>
      <c r="D17" s="25" t="s">
        <v>121</v>
      </c>
      <c r="E17" s="25" t="s">
        <v>122</v>
      </c>
      <c r="F17" s="25" t="s">
        <v>123</v>
      </c>
      <c r="G17" s="25" t="s">
        <v>124</v>
      </c>
      <c r="H17" s="25" t="s">
        <v>125</v>
      </c>
      <c r="I17" s="25" t="s">
        <v>126</v>
      </c>
    </row>
    <row r="18" spans="1:9" ht="108" customHeight="1" x14ac:dyDescent="0.2">
      <c r="A18" s="25">
        <v>17</v>
      </c>
      <c r="B18" s="25" t="s">
        <v>119</v>
      </c>
      <c r="C18" s="26" t="s">
        <v>127</v>
      </c>
      <c r="D18" s="25" t="s">
        <v>128</v>
      </c>
      <c r="E18" s="25" t="s">
        <v>129</v>
      </c>
      <c r="F18" s="25" t="s">
        <v>130</v>
      </c>
      <c r="G18" s="25" t="s">
        <v>131</v>
      </c>
      <c r="H18" s="25" t="s">
        <v>132</v>
      </c>
      <c r="I18" s="25" t="s">
        <v>133</v>
      </c>
    </row>
    <row r="19" spans="1:9" ht="108" customHeight="1" x14ac:dyDescent="0.2">
      <c r="A19" s="23">
        <v>18</v>
      </c>
      <c r="B19" s="23" t="s">
        <v>134</v>
      </c>
      <c r="C19" s="24" t="s">
        <v>135</v>
      </c>
      <c r="D19" s="23" t="s">
        <v>136</v>
      </c>
      <c r="E19" s="23" t="s">
        <v>137</v>
      </c>
      <c r="F19" s="23" t="s">
        <v>138</v>
      </c>
      <c r="G19" s="23" t="s">
        <v>139</v>
      </c>
      <c r="H19" s="23" t="s">
        <v>140</v>
      </c>
      <c r="I19" s="23" t="s">
        <v>141</v>
      </c>
    </row>
    <row r="20" spans="1:9" ht="108" customHeight="1" x14ac:dyDescent="0.2">
      <c r="A20" s="23">
        <v>19</v>
      </c>
      <c r="B20" s="23" t="s">
        <v>134</v>
      </c>
      <c r="C20" s="24" t="s">
        <v>142</v>
      </c>
      <c r="D20" s="23" t="s">
        <v>143</v>
      </c>
      <c r="E20" s="23" t="s">
        <v>144</v>
      </c>
      <c r="F20" s="23" t="s">
        <v>145</v>
      </c>
      <c r="G20" s="23" t="s">
        <v>146</v>
      </c>
      <c r="H20" s="23" t="s">
        <v>147</v>
      </c>
      <c r="I20" s="23" t="s">
        <v>148</v>
      </c>
    </row>
    <row r="21" spans="1:9" ht="108" customHeight="1" x14ac:dyDescent="0.2">
      <c r="A21" s="23">
        <v>20</v>
      </c>
      <c r="B21" s="23" t="s">
        <v>134</v>
      </c>
      <c r="C21" s="24" t="s">
        <v>149</v>
      </c>
      <c r="D21" s="23" t="s">
        <v>150</v>
      </c>
      <c r="E21" s="23" t="s">
        <v>151</v>
      </c>
      <c r="F21" s="23" t="s">
        <v>152</v>
      </c>
      <c r="G21" s="23" t="s">
        <v>153</v>
      </c>
      <c r="H21" s="23" t="s">
        <v>154</v>
      </c>
      <c r="I21" s="23" t="s">
        <v>155</v>
      </c>
    </row>
    <row r="22" spans="1:9" ht="108" customHeight="1" x14ac:dyDescent="0.2">
      <c r="A22" s="25">
        <v>21</v>
      </c>
      <c r="B22" s="25" t="s">
        <v>156</v>
      </c>
      <c r="C22" s="26" t="s">
        <v>157</v>
      </c>
      <c r="D22" s="25" t="s">
        <v>158</v>
      </c>
      <c r="E22" s="25" t="s">
        <v>159</v>
      </c>
      <c r="F22" s="25" t="s">
        <v>160</v>
      </c>
      <c r="G22" s="25" t="s">
        <v>161</v>
      </c>
      <c r="H22" s="25" t="s">
        <v>162</v>
      </c>
      <c r="I22" s="25" t="s">
        <v>163</v>
      </c>
    </row>
    <row r="23" spans="1:9" ht="108" customHeight="1" x14ac:dyDescent="0.2">
      <c r="A23" s="25">
        <v>22</v>
      </c>
      <c r="B23" s="25" t="s">
        <v>156</v>
      </c>
      <c r="C23" s="26" t="s">
        <v>164</v>
      </c>
      <c r="D23" s="25" t="s">
        <v>165</v>
      </c>
      <c r="E23" s="25" t="s">
        <v>166</v>
      </c>
      <c r="F23" s="25" t="s">
        <v>167</v>
      </c>
      <c r="G23" s="25" t="s">
        <v>168</v>
      </c>
      <c r="H23" s="25" t="s">
        <v>169</v>
      </c>
      <c r="I23" s="25" t="s">
        <v>170</v>
      </c>
    </row>
    <row r="24" spans="1:9" ht="108" customHeight="1" x14ac:dyDescent="0.2">
      <c r="A24" s="23">
        <v>23</v>
      </c>
      <c r="B24" s="23" t="s">
        <v>171</v>
      </c>
      <c r="C24" s="24" t="s">
        <v>172</v>
      </c>
      <c r="D24" s="23" t="s">
        <v>173</v>
      </c>
      <c r="E24" s="23" t="s">
        <v>174</v>
      </c>
      <c r="F24" s="23" t="s">
        <v>175</v>
      </c>
      <c r="G24" s="23" t="s">
        <v>176</v>
      </c>
      <c r="H24" s="23" t="s">
        <v>177</v>
      </c>
      <c r="I24" s="23" t="s">
        <v>178</v>
      </c>
    </row>
    <row r="25" spans="1:9" ht="108" customHeight="1" x14ac:dyDescent="0.2">
      <c r="A25" s="23">
        <v>24</v>
      </c>
      <c r="B25" s="23" t="s">
        <v>171</v>
      </c>
      <c r="C25" s="24" t="s">
        <v>179</v>
      </c>
      <c r="D25" s="23" t="s">
        <v>180</v>
      </c>
      <c r="E25" s="23" t="s">
        <v>181</v>
      </c>
      <c r="F25" s="23" t="s">
        <v>182</v>
      </c>
      <c r="G25" s="23" t="s">
        <v>183</v>
      </c>
      <c r="H25" s="23" t="s">
        <v>184</v>
      </c>
      <c r="I25" s="23" t="s">
        <v>185</v>
      </c>
    </row>
    <row r="26" spans="1:9" ht="108" customHeight="1" x14ac:dyDescent="0.2">
      <c r="A26" s="25">
        <v>25</v>
      </c>
      <c r="B26" s="25" t="s">
        <v>186</v>
      </c>
      <c r="C26" s="26" t="s">
        <v>187</v>
      </c>
      <c r="D26" s="25" t="s">
        <v>188</v>
      </c>
      <c r="E26" s="25" t="s">
        <v>189</v>
      </c>
      <c r="F26" s="25" t="s">
        <v>190</v>
      </c>
      <c r="G26" s="25" t="s">
        <v>191</v>
      </c>
      <c r="H26" s="25" t="s">
        <v>192</v>
      </c>
      <c r="I26" s="25" t="s">
        <v>193</v>
      </c>
    </row>
    <row r="27" spans="1:9" ht="108" customHeight="1" x14ac:dyDescent="0.2">
      <c r="A27" s="25">
        <v>26</v>
      </c>
      <c r="B27" s="25" t="s">
        <v>186</v>
      </c>
      <c r="C27" s="26" t="s">
        <v>194</v>
      </c>
      <c r="D27" s="25" t="s">
        <v>195</v>
      </c>
      <c r="E27" s="25" t="s">
        <v>196</v>
      </c>
      <c r="F27" s="25" t="s">
        <v>197</v>
      </c>
      <c r="G27" s="25" t="s">
        <v>198</v>
      </c>
      <c r="H27" s="25" t="s">
        <v>199</v>
      </c>
      <c r="I27" s="25" t="s">
        <v>200</v>
      </c>
    </row>
    <row r="28" spans="1:9" ht="108" customHeight="1" x14ac:dyDescent="0.2">
      <c r="A28" s="25">
        <v>27</v>
      </c>
      <c r="B28" s="25" t="s">
        <v>186</v>
      </c>
      <c r="C28" s="26" t="s">
        <v>201</v>
      </c>
      <c r="D28" s="25" t="s">
        <v>202</v>
      </c>
      <c r="E28" s="25" t="s">
        <v>203</v>
      </c>
      <c r="F28" s="25" t="s">
        <v>204</v>
      </c>
      <c r="G28" s="25" t="s">
        <v>205</v>
      </c>
      <c r="H28" s="25" t="s">
        <v>206</v>
      </c>
      <c r="I28" s="25" t="s">
        <v>207</v>
      </c>
    </row>
    <row r="29" spans="1:9" ht="108" customHeight="1" x14ac:dyDescent="0.2">
      <c r="A29" s="23">
        <v>28</v>
      </c>
      <c r="B29" s="23" t="s">
        <v>208</v>
      </c>
      <c r="C29" s="24" t="s">
        <v>209</v>
      </c>
      <c r="D29" s="23" t="s">
        <v>210</v>
      </c>
      <c r="E29" s="23" t="s">
        <v>211</v>
      </c>
      <c r="F29" s="23" t="s">
        <v>212</v>
      </c>
      <c r="G29" s="23" t="s">
        <v>213</v>
      </c>
      <c r="H29" s="23" t="s">
        <v>214</v>
      </c>
      <c r="I29" s="23" t="s">
        <v>215</v>
      </c>
    </row>
    <row r="30" spans="1:9" ht="108" customHeight="1" x14ac:dyDescent="0.2">
      <c r="A30" s="23">
        <v>29</v>
      </c>
      <c r="B30" s="23" t="s">
        <v>208</v>
      </c>
      <c r="C30" s="24" t="s">
        <v>216</v>
      </c>
      <c r="D30" s="23" t="s">
        <v>217</v>
      </c>
      <c r="E30" s="23" t="s">
        <v>218</v>
      </c>
      <c r="F30" s="23" t="s">
        <v>219</v>
      </c>
      <c r="G30" s="23" t="s">
        <v>220</v>
      </c>
      <c r="H30" s="23" t="s">
        <v>221</v>
      </c>
      <c r="I30" s="23" t="s">
        <v>222</v>
      </c>
    </row>
    <row r="31" spans="1:9" ht="108" customHeight="1" x14ac:dyDescent="0.2">
      <c r="A31" s="23">
        <v>30</v>
      </c>
      <c r="B31" s="23" t="s">
        <v>208</v>
      </c>
      <c r="C31" s="24" t="s">
        <v>223</v>
      </c>
      <c r="D31" s="23" t="s">
        <v>224</v>
      </c>
      <c r="E31" s="23" t="s">
        <v>225</v>
      </c>
      <c r="F31" s="23" t="s">
        <v>226</v>
      </c>
      <c r="G31" s="23" t="s">
        <v>227</v>
      </c>
      <c r="H31" s="23" t="s">
        <v>228</v>
      </c>
      <c r="I31" s="23" t="s">
        <v>229</v>
      </c>
    </row>
    <row r="32" spans="1:9" ht="108" customHeight="1" x14ac:dyDescent="0.2">
      <c r="A32" s="25">
        <v>31</v>
      </c>
      <c r="B32" s="25" t="s">
        <v>230</v>
      </c>
      <c r="C32" s="26" t="s">
        <v>231</v>
      </c>
      <c r="D32" s="25" t="s">
        <v>232</v>
      </c>
      <c r="E32" s="25" t="s">
        <v>233</v>
      </c>
      <c r="F32" s="25" t="s">
        <v>234</v>
      </c>
      <c r="G32" s="25" t="s">
        <v>235</v>
      </c>
      <c r="H32" s="25" t="s">
        <v>236</v>
      </c>
      <c r="I32" s="25" t="s">
        <v>237</v>
      </c>
    </row>
    <row r="33" spans="1:9" ht="108" customHeight="1" x14ac:dyDescent="0.2">
      <c r="A33" s="25">
        <v>32</v>
      </c>
      <c r="B33" s="25" t="s">
        <v>230</v>
      </c>
      <c r="C33" s="26" t="s">
        <v>238</v>
      </c>
      <c r="D33" s="25" t="s">
        <v>239</v>
      </c>
      <c r="E33" s="25" t="s">
        <v>240</v>
      </c>
      <c r="F33" s="25" t="s">
        <v>241</v>
      </c>
      <c r="G33" s="25" t="s">
        <v>242</v>
      </c>
      <c r="H33" s="25" t="s">
        <v>243</v>
      </c>
      <c r="I33" s="25" t="s">
        <v>244</v>
      </c>
    </row>
    <row r="34" spans="1:9" ht="108" customHeight="1" x14ac:dyDescent="0.2">
      <c r="A34" s="23">
        <v>33</v>
      </c>
      <c r="B34" s="23" t="s">
        <v>245</v>
      </c>
      <c r="C34" s="24" t="s">
        <v>246</v>
      </c>
      <c r="D34" s="23" t="s">
        <v>247</v>
      </c>
      <c r="E34" s="23" t="s">
        <v>248</v>
      </c>
      <c r="F34" s="23" t="s">
        <v>249</v>
      </c>
      <c r="G34" s="23" t="s">
        <v>250</v>
      </c>
      <c r="H34" s="23" t="s">
        <v>251</v>
      </c>
      <c r="I34" s="23" t="s">
        <v>252</v>
      </c>
    </row>
    <row r="35" spans="1:9" ht="108" customHeight="1" x14ac:dyDescent="0.2">
      <c r="A35" s="23">
        <v>34</v>
      </c>
      <c r="B35" s="23" t="s">
        <v>245</v>
      </c>
      <c r="C35" s="24" t="s">
        <v>253</v>
      </c>
      <c r="D35" s="23" t="s">
        <v>254</v>
      </c>
      <c r="E35" s="23" t="s">
        <v>255</v>
      </c>
      <c r="F35" s="23" t="s">
        <v>256</v>
      </c>
      <c r="G35" s="23" t="s">
        <v>257</v>
      </c>
      <c r="H35" s="23" t="s">
        <v>258</v>
      </c>
      <c r="I35" s="23" t="s">
        <v>259</v>
      </c>
    </row>
    <row r="36" spans="1:9" ht="108" customHeight="1" x14ac:dyDescent="0.2">
      <c r="A36" s="23">
        <v>35</v>
      </c>
      <c r="B36" s="23" t="s">
        <v>245</v>
      </c>
      <c r="C36" s="24" t="s">
        <v>260</v>
      </c>
      <c r="D36" s="23" t="s">
        <v>261</v>
      </c>
      <c r="E36" s="23" t="s">
        <v>262</v>
      </c>
      <c r="F36" s="23" t="s">
        <v>263</v>
      </c>
      <c r="G36" s="23" t="s">
        <v>264</v>
      </c>
      <c r="H36" s="23" t="s">
        <v>265</v>
      </c>
      <c r="I36" s="23" t="s">
        <v>266</v>
      </c>
    </row>
    <row r="37" spans="1:9" ht="108" customHeight="1" x14ac:dyDescent="0.2">
      <c r="A37" s="25">
        <v>36</v>
      </c>
      <c r="B37" s="25" t="s">
        <v>267</v>
      </c>
      <c r="C37" s="26" t="s">
        <v>268</v>
      </c>
      <c r="D37" s="25" t="s">
        <v>269</v>
      </c>
      <c r="E37" s="25" t="s">
        <v>270</v>
      </c>
      <c r="F37" s="25" t="s">
        <v>271</v>
      </c>
      <c r="G37" s="25" t="s">
        <v>272</v>
      </c>
      <c r="H37" s="25" t="s">
        <v>273</v>
      </c>
      <c r="I37" s="25" t="s">
        <v>274</v>
      </c>
    </row>
    <row r="38" spans="1:9" ht="108" customHeight="1" x14ac:dyDescent="0.2">
      <c r="A38" s="25">
        <v>37</v>
      </c>
      <c r="B38" s="25" t="s">
        <v>267</v>
      </c>
      <c r="C38" s="26" t="s">
        <v>275</v>
      </c>
      <c r="D38" s="25" t="s">
        <v>276</v>
      </c>
      <c r="E38" s="25" t="s">
        <v>277</v>
      </c>
      <c r="F38" s="25" t="s">
        <v>278</v>
      </c>
      <c r="G38" s="25" t="s">
        <v>279</v>
      </c>
      <c r="H38" s="25" t="s">
        <v>280</v>
      </c>
      <c r="I38" s="25" t="s">
        <v>281</v>
      </c>
    </row>
  </sheetData>
  <autoFilter ref="A1:I38"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tabSelected="1"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6" x14ac:dyDescent="0.2"/>
  <cols>
    <col min="1" max="1" width="26" style="22" customWidth="1"/>
    <col min="2" max="2" width="40" style="22" customWidth="1"/>
    <col min="3" max="3" width="30" style="22" customWidth="1"/>
    <col min="4" max="4" width="40" style="22" customWidth="1"/>
    <col min="5" max="5" width="58" style="22" customWidth="1"/>
    <col min="6" max="6" width="48" style="22" customWidth="1"/>
    <col min="7" max="7" width="50" style="22" customWidth="1"/>
    <col min="8" max="16384" width="8.6640625" style="22"/>
  </cols>
  <sheetData>
    <row r="1" spans="1:7" ht="31.5" customHeight="1" x14ac:dyDescent="0.2">
      <c r="A1" s="21" t="s">
        <v>282</v>
      </c>
      <c r="B1" s="21" t="s">
        <v>283</v>
      </c>
      <c r="C1" s="21" t="s">
        <v>284</v>
      </c>
      <c r="D1" s="21" t="s">
        <v>285</v>
      </c>
      <c r="E1" s="21" t="s">
        <v>286</v>
      </c>
      <c r="F1" s="21" t="s">
        <v>287</v>
      </c>
      <c r="G1" s="21" t="s">
        <v>288</v>
      </c>
    </row>
    <row r="2" spans="1:7" ht="96" customHeight="1" x14ac:dyDescent="0.2">
      <c r="A2" s="26" t="s">
        <v>289</v>
      </c>
      <c r="B2" s="25" t="s">
        <v>290</v>
      </c>
      <c r="C2" s="25" t="s">
        <v>291</v>
      </c>
      <c r="D2" s="25" t="s">
        <v>292</v>
      </c>
      <c r="E2" s="25" t="s">
        <v>293</v>
      </c>
      <c r="F2" s="25" t="s">
        <v>294</v>
      </c>
      <c r="G2" s="25" t="s">
        <v>295</v>
      </c>
    </row>
    <row r="3" spans="1:7" ht="96" customHeight="1" x14ac:dyDescent="0.2">
      <c r="A3" s="26" t="s">
        <v>296</v>
      </c>
      <c r="B3" s="25" t="s">
        <v>297</v>
      </c>
      <c r="C3" s="25" t="s">
        <v>298</v>
      </c>
      <c r="D3" s="25" t="s">
        <v>299</v>
      </c>
      <c r="E3" s="25" t="s">
        <v>300</v>
      </c>
      <c r="F3" s="25" t="s">
        <v>301</v>
      </c>
      <c r="G3" s="25" t="s">
        <v>302</v>
      </c>
    </row>
    <row r="4" spans="1:7" ht="96" customHeight="1" x14ac:dyDescent="0.2">
      <c r="A4" s="26" t="s">
        <v>303</v>
      </c>
      <c r="B4" s="25" t="s">
        <v>304</v>
      </c>
      <c r="C4" s="25" t="s">
        <v>305</v>
      </c>
      <c r="D4" s="25" t="s">
        <v>306</v>
      </c>
      <c r="E4" s="25" t="s">
        <v>307</v>
      </c>
      <c r="F4" s="25" t="s">
        <v>308</v>
      </c>
      <c r="G4" s="25" t="s">
        <v>309</v>
      </c>
    </row>
    <row r="5" spans="1:7" ht="96" customHeight="1" x14ac:dyDescent="0.2">
      <c r="A5" s="26" t="s">
        <v>310</v>
      </c>
      <c r="B5" s="25" t="s">
        <v>311</v>
      </c>
      <c r="C5" s="25" t="s">
        <v>312</v>
      </c>
      <c r="D5" s="25" t="s">
        <v>313</v>
      </c>
      <c r="E5" s="25" t="s">
        <v>314</v>
      </c>
      <c r="F5" s="25" t="s">
        <v>315</v>
      </c>
      <c r="G5" s="25" t="s">
        <v>316</v>
      </c>
    </row>
    <row r="6" spans="1:7" ht="96" customHeight="1" x14ac:dyDescent="0.2">
      <c r="A6" s="26" t="s">
        <v>317</v>
      </c>
      <c r="B6" s="25" t="s">
        <v>318</v>
      </c>
      <c r="C6" s="25" t="s">
        <v>319</v>
      </c>
      <c r="D6" s="25" t="s">
        <v>320</v>
      </c>
      <c r="E6" s="25" t="s">
        <v>321</v>
      </c>
      <c r="F6" s="25" t="s">
        <v>322</v>
      </c>
      <c r="G6" s="25" t="s">
        <v>323</v>
      </c>
    </row>
    <row r="7" spans="1:7" ht="96" customHeight="1" x14ac:dyDescent="0.2">
      <c r="A7" s="26" t="s">
        <v>324</v>
      </c>
      <c r="B7" s="25" t="s">
        <v>325</v>
      </c>
      <c r="C7" s="25" t="s">
        <v>326</v>
      </c>
      <c r="D7" s="25" t="s">
        <v>327</v>
      </c>
      <c r="E7" s="25" t="s">
        <v>328</v>
      </c>
      <c r="F7" s="25" t="s">
        <v>329</v>
      </c>
      <c r="G7" s="25" t="s">
        <v>330</v>
      </c>
    </row>
    <row r="8" spans="1:7" ht="96" customHeight="1" x14ac:dyDescent="0.2">
      <c r="A8" s="26" t="s">
        <v>331</v>
      </c>
      <c r="B8" s="25" t="s">
        <v>332</v>
      </c>
      <c r="C8" s="25" t="s">
        <v>333</v>
      </c>
      <c r="D8" s="25" t="s">
        <v>334</v>
      </c>
      <c r="E8" s="25" t="s">
        <v>335</v>
      </c>
      <c r="F8" s="25" t="s">
        <v>336</v>
      </c>
      <c r="G8" s="25" t="s">
        <v>337</v>
      </c>
    </row>
    <row r="9" spans="1:7" ht="96" customHeight="1" x14ac:dyDescent="0.2">
      <c r="A9" s="26" t="s">
        <v>338</v>
      </c>
      <c r="B9" s="25" t="s">
        <v>339</v>
      </c>
      <c r="C9" s="25" t="s">
        <v>340</v>
      </c>
      <c r="D9" s="25" t="s">
        <v>341</v>
      </c>
      <c r="E9" s="25" t="s">
        <v>342</v>
      </c>
      <c r="F9" s="25" t="s">
        <v>343</v>
      </c>
      <c r="G9" s="25" t="s">
        <v>344</v>
      </c>
    </row>
    <row r="10" spans="1:7" ht="96" customHeight="1" x14ac:dyDescent="0.2">
      <c r="A10" s="26" t="s">
        <v>345</v>
      </c>
      <c r="B10" s="25" t="s">
        <v>205</v>
      </c>
      <c r="C10" s="25" t="s">
        <v>346</v>
      </c>
      <c r="D10" s="25" t="s">
        <v>347</v>
      </c>
      <c r="E10" s="25" t="s">
        <v>348</v>
      </c>
      <c r="F10" s="25" t="s">
        <v>349</v>
      </c>
      <c r="G10" s="25" t="s">
        <v>350</v>
      </c>
    </row>
    <row r="11" spans="1:7" ht="96" customHeight="1" x14ac:dyDescent="0.2">
      <c r="A11" s="26" t="s">
        <v>351</v>
      </c>
      <c r="B11" s="25" t="s">
        <v>352</v>
      </c>
      <c r="C11" s="25" t="s">
        <v>353</v>
      </c>
      <c r="D11" s="25" t="s">
        <v>354</v>
      </c>
      <c r="E11" s="25" t="s">
        <v>355</v>
      </c>
      <c r="F11" s="25" t="s">
        <v>356</v>
      </c>
      <c r="G11" s="25" t="s">
        <v>357</v>
      </c>
    </row>
  </sheetData>
  <autoFilter ref="A1:G1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zoomScaleNormal="100" workbookViewId="0"/>
  </sheetViews>
  <sheetFormatPr baseColWidth="10" defaultColWidth="8.6640625" defaultRowHeight="15" x14ac:dyDescent="0.2"/>
  <cols>
    <col min="1" max="1" width="46" customWidth="1"/>
    <col min="2" max="2" width="30" customWidth="1"/>
    <col min="3" max="3" width="18" customWidth="1"/>
    <col min="4" max="4" width="14" customWidth="1"/>
    <col min="5" max="8" width="16" customWidth="1"/>
  </cols>
  <sheetData>
    <row r="1" spans="1:8" ht="15" customHeight="1" x14ac:dyDescent="0.2">
      <c r="A1" s="1" t="s">
        <v>358</v>
      </c>
    </row>
    <row r="2" spans="1:8" ht="15" customHeight="1" x14ac:dyDescent="0.2">
      <c r="A2" s="2" t="s">
        <v>359</v>
      </c>
    </row>
    <row r="4" spans="1:8" ht="15" customHeight="1" x14ac:dyDescent="0.2">
      <c r="A4" s="3" t="s">
        <v>360</v>
      </c>
    </row>
    <row r="5" spans="1:8" ht="15" customHeight="1" x14ac:dyDescent="0.2">
      <c r="A5" s="4" t="s">
        <v>361</v>
      </c>
      <c r="B5" s="5">
        <v>120</v>
      </c>
    </row>
    <row r="6" spans="1:8" ht="15" customHeight="1" x14ac:dyDescent="0.2">
      <c r="A6" s="4" t="s">
        <v>362</v>
      </c>
      <c r="B6" s="5">
        <v>8</v>
      </c>
    </row>
    <row r="7" spans="1:8" ht="15" customHeight="1" x14ac:dyDescent="0.2">
      <c r="A7" s="4" t="s">
        <v>363</v>
      </c>
      <c r="B7" s="5">
        <v>25</v>
      </c>
    </row>
    <row r="8" spans="1:8" ht="15" customHeight="1" x14ac:dyDescent="0.2">
      <c r="A8" s="4" t="s">
        <v>364</v>
      </c>
      <c r="B8" s="5">
        <v>400</v>
      </c>
    </row>
    <row r="9" spans="1:8" ht="15" customHeight="1" x14ac:dyDescent="0.2">
      <c r="A9" s="4" t="s">
        <v>365</v>
      </c>
      <c r="B9" s="5">
        <v>3</v>
      </c>
    </row>
    <row r="11" spans="1:8" ht="15" customHeight="1" x14ac:dyDescent="0.2">
      <c r="A11" s="3" t="s">
        <v>366</v>
      </c>
    </row>
    <row r="12" spans="1:8" ht="15" customHeight="1" x14ac:dyDescent="0.2">
      <c r="A12" s="6" t="s">
        <v>367</v>
      </c>
      <c r="B12" s="6" t="s">
        <v>368</v>
      </c>
      <c r="C12" s="6" t="s">
        <v>369</v>
      </c>
      <c r="D12" s="6" t="s">
        <v>370</v>
      </c>
      <c r="E12" s="6" t="s">
        <v>371</v>
      </c>
      <c r="F12" s="6" t="s">
        <v>372</v>
      </c>
      <c r="G12" s="6" t="s">
        <v>373</v>
      </c>
      <c r="H12" s="6" t="s">
        <v>374</v>
      </c>
    </row>
    <row r="13" spans="1:8" ht="15" customHeight="1" x14ac:dyDescent="0.2">
      <c r="A13" s="4" t="s">
        <v>375</v>
      </c>
      <c r="B13" s="4" t="s">
        <v>376</v>
      </c>
      <c r="C13" s="4" t="s">
        <v>377</v>
      </c>
      <c r="D13" s="4">
        <f>$B$5</f>
        <v>120</v>
      </c>
      <c r="E13" s="7">
        <v>400</v>
      </c>
      <c r="F13" s="8">
        <f t="shared" ref="F13:F18" si="0">D13*E13</f>
        <v>48000</v>
      </c>
      <c r="G13" s="8">
        <f t="shared" ref="G13:G18" si="1">F13*$B$9</f>
        <v>144000</v>
      </c>
      <c r="H13" s="8">
        <v>0</v>
      </c>
    </row>
    <row r="14" spans="1:8" ht="15" customHeight="1" x14ac:dyDescent="0.2">
      <c r="A14" s="4" t="s">
        <v>303</v>
      </c>
      <c r="B14" s="4" t="s">
        <v>378</v>
      </c>
      <c r="C14" s="4" t="s">
        <v>377</v>
      </c>
      <c r="D14" s="4">
        <f>$B$5</f>
        <v>120</v>
      </c>
      <c r="E14" s="7">
        <v>300</v>
      </c>
      <c r="F14" s="8">
        <f t="shared" si="0"/>
        <v>36000</v>
      </c>
      <c r="G14" s="8">
        <f t="shared" si="1"/>
        <v>108000</v>
      </c>
      <c r="H14" s="8">
        <v>0</v>
      </c>
    </row>
    <row r="15" spans="1:8" ht="15" customHeight="1" x14ac:dyDescent="0.2">
      <c r="A15" s="4" t="s">
        <v>379</v>
      </c>
      <c r="B15" s="4" t="s">
        <v>380</v>
      </c>
      <c r="C15" s="4" t="s">
        <v>381</v>
      </c>
      <c r="D15" s="4">
        <f>$B$7</f>
        <v>25</v>
      </c>
      <c r="E15" s="7">
        <v>3000</v>
      </c>
      <c r="F15" s="8">
        <f t="shared" si="0"/>
        <v>75000</v>
      </c>
      <c r="G15" s="8">
        <f t="shared" si="1"/>
        <v>225000</v>
      </c>
      <c r="H15" s="8">
        <v>0</v>
      </c>
    </row>
    <row r="16" spans="1:8" ht="15" customHeight="1" x14ac:dyDescent="0.2">
      <c r="A16" s="4" t="s">
        <v>382</v>
      </c>
      <c r="B16" s="4" t="s">
        <v>383</v>
      </c>
      <c r="C16" s="4" t="s">
        <v>384</v>
      </c>
      <c r="D16" s="4">
        <f>$B$8</f>
        <v>400</v>
      </c>
      <c r="E16" s="7">
        <v>150</v>
      </c>
      <c r="F16" s="8">
        <f t="shared" si="0"/>
        <v>60000</v>
      </c>
      <c r="G16" s="8">
        <f t="shared" si="1"/>
        <v>180000</v>
      </c>
      <c r="H16" s="8">
        <v>0</v>
      </c>
    </row>
    <row r="17" spans="1:8" ht="15" customHeight="1" x14ac:dyDescent="0.2">
      <c r="A17" s="4" t="s">
        <v>324</v>
      </c>
      <c r="B17" s="4" t="s">
        <v>385</v>
      </c>
      <c r="C17" s="4" t="s">
        <v>381</v>
      </c>
      <c r="D17" s="4">
        <f>$B$7</f>
        <v>25</v>
      </c>
      <c r="E17" s="7">
        <v>1500</v>
      </c>
      <c r="F17" s="8">
        <f t="shared" si="0"/>
        <v>37500</v>
      </c>
      <c r="G17" s="8">
        <f t="shared" si="1"/>
        <v>112500</v>
      </c>
      <c r="H17" s="8">
        <v>0</v>
      </c>
    </row>
    <row r="18" spans="1:8" ht="15" customHeight="1" x14ac:dyDescent="0.2">
      <c r="A18" s="4" t="s">
        <v>331</v>
      </c>
      <c r="B18" s="4" t="s">
        <v>386</v>
      </c>
      <c r="C18" s="4" t="s">
        <v>387</v>
      </c>
      <c r="D18" s="4">
        <f>$B$6</f>
        <v>8</v>
      </c>
      <c r="E18" s="7">
        <v>1200</v>
      </c>
      <c r="F18" s="8">
        <f t="shared" si="0"/>
        <v>9600</v>
      </c>
      <c r="G18" s="8">
        <f t="shared" si="1"/>
        <v>28800</v>
      </c>
      <c r="H18" s="8">
        <v>0</v>
      </c>
    </row>
    <row r="19" spans="1:8" ht="15" customHeight="1" x14ac:dyDescent="0.2">
      <c r="A19" s="9" t="s">
        <v>388</v>
      </c>
      <c r="B19" s="10" t="s">
        <v>389</v>
      </c>
      <c r="D19" s="10" t="s">
        <v>390</v>
      </c>
      <c r="F19" s="11">
        <f>SUM(F13:F18)</f>
        <v>266100</v>
      </c>
      <c r="G19" s="11">
        <f>SUM(G13:G18)</f>
        <v>798300</v>
      </c>
      <c r="H19" s="11">
        <f>SUM(H13:H18)</f>
        <v>0</v>
      </c>
    </row>
    <row r="20" spans="1:8" ht="15" customHeight="1" x14ac:dyDescent="0.2">
      <c r="A20" s="4" t="s">
        <v>391</v>
      </c>
      <c r="C20" s="12">
        <v>600</v>
      </c>
      <c r="D20" s="4" t="s">
        <v>392</v>
      </c>
      <c r="E20" s="5">
        <v>60</v>
      </c>
      <c r="F20" s="13">
        <f>C20*E20</f>
        <v>36000</v>
      </c>
      <c r="G20" s="13">
        <f>F20*$B$9</f>
        <v>108000</v>
      </c>
      <c r="H20" s="13">
        <f>F20*$B$9*0.3</f>
        <v>32400</v>
      </c>
    </row>
    <row r="22" spans="1:8" ht="15" customHeight="1" x14ac:dyDescent="0.2">
      <c r="A22" s="3" t="s">
        <v>393</v>
      </c>
      <c r="G22" s="14">
        <f>G19+G20</f>
        <v>906300</v>
      </c>
      <c r="H22" s="14">
        <f>H19+H20</f>
        <v>32400</v>
      </c>
    </row>
    <row r="23" spans="1:8" ht="15" customHeight="1" x14ac:dyDescent="0.2">
      <c r="A23" s="15" t="s">
        <v>394</v>
      </c>
      <c r="G23" s="16">
        <f>G22-H22</f>
        <v>873900</v>
      </c>
    </row>
    <row r="25" spans="1:8" ht="15" customHeight="1" x14ac:dyDescent="0.2">
      <c r="A25" s="17" t="s">
        <v>395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30"/>
  <sheetViews>
    <sheetView zoomScaleNormal="100" workbookViewId="0"/>
  </sheetViews>
  <sheetFormatPr baseColWidth="10" defaultColWidth="8.6640625" defaultRowHeight="15" x14ac:dyDescent="0.2"/>
  <cols>
    <col min="1" max="1" width="4" customWidth="1"/>
    <col min="2" max="2" width="110" customWidth="1"/>
  </cols>
  <sheetData>
    <row r="1" spans="2:2" ht="15.75" customHeight="1" x14ac:dyDescent="0.2">
      <c r="B1" s="18" t="s">
        <v>396</v>
      </c>
    </row>
    <row r="2" spans="2:2" ht="15" customHeight="1" x14ac:dyDescent="0.2">
      <c r="B2" s="19"/>
    </row>
    <row r="3" spans="2:2" ht="15" customHeight="1" x14ac:dyDescent="0.2">
      <c r="B3" s="20" t="s">
        <v>397</v>
      </c>
    </row>
    <row r="4" spans="2:2" ht="21.75" customHeight="1" x14ac:dyDescent="0.2">
      <c r="B4" s="19" t="s">
        <v>398</v>
      </c>
    </row>
    <row r="5" spans="2:2" ht="15" customHeight="1" x14ac:dyDescent="0.2">
      <c r="B5" s="19" t="s">
        <v>399</v>
      </c>
    </row>
    <row r="6" spans="2:2" ht="15" customHeight="1" x14ac:dyDescent="0.2">
      <c r="B6" s="19" t="s">
        <v>400</v>
      </c>
    </row>
    <row r="7" spans="2:2" ht="15" customHeight="1" x14ac:dyDescent="0.2">
      <c r="B7" s="19" t="s">
        <v>401</v>
      </c>
    </row>
    <row r="8" spans="2:2" ht="15" customHeight="1" x14ac:dyDescent="0.2">
      <c r="B8" s="19" t="s">
        <v>402</v>
      </c>
    </row>
    <row r="9" spans="2:2" ht="15" customHeight="1" x14ac:dyDescent="0.2">
      <c r="B9" s="19"/>
    </row>
    <row r="10" spans="2:2" ht="15" customHeight="1" x14ac:dyDescent="0.2">
      <c r="B10" s="20" t="s">
        <v>403</v>
      </c>
    </row>
    <row r="11" spans="2:2" ht="32.25" customHeight="1" x14ac:dyDescent="0.2">
      <c r="B11" s="19" t="s">
        <v>404</v>
      </c>
    </row>
    <row r="12" spans="2:2" ht="15" customHeight="1" x14ac:dyDescent="0.2">
      <c r="B12" s="19"/>
    </row>
    <row r="13" spans="2:2" ht="15" customHeight="1" x14ac:dyDescent="0.2">
      <c r="B13" s="20" t="s">
        <v>405</v>
      </c>
    </row>
    <row r="14" spans="2:2" ht="32.25" customHeight="1" x14ac:dyDescent="0.2">
      <c r="B14" s="19" t="s">
        <v>406</v>
      </c>
    </row>
    <row r="15" spans="2:2" ht="15" customHeight="1" x14ac:dyDescent="0.2">
      <c r="B15" s="19"/>
    </row>
    <row r="16" spans="2:2" ht="15" customHeight="1" x14ac:dyDescent="0.2">
      <c r="B16" s="20" t="s">
        <v>407</v>
      </c>
    </row>
    <row r="17" spans="2:2" ht="15" customHeight="1" x14ac:dyDescent="0.2">
      <c r="B17" s="19" t="s">
        <v>408</v>
      </c>
    </row>
    <row r="18" spans="2:2" ht="15" customHeight="1" x14ac:dyDescent="0.2">
      <c r="B18" s="19" t="s">
        <v>409</v>
      </c>
    </row>
    <row r="19" spans="2:2" ht="15" customHeight="1" x14ac:dyDescent="0.2">
      <c r="B19" s="19" t="s">
        <v>410</v>
      </c>
    </row>
    <row r="20" spans="2:2" ht="15" customHeight="1" x14ac:dyDescent="0.2">
      <c r="B20" s="19" t="s">
        <v>411</v>
      </c>
    </row>
    <row r="21" spans="2:2" ht="15" customHeight="1" x14ac:dyDescent="0.2">
      <c r="B21" s="19" t="s">
        <v>412</v>
      </c>
    </row>
    <row r="22" spans="2:2" ht="15" customHeight="1" x14ac:dyDescent="0.2">
      <c r="B22" s="19" t="s">
        <v>413</v>
      </c>
    </row>
    <row r="23" spans="2:2" ht="15" customHeight="1" x14ac:dyDescent="0.2">
      <c r="B23" s="19"/>
    </row>
    <row r="24" spans="2:2" ht="15" customHeight="1" x14ac:dyDescent="0.2">
      <c r="B24" s="20" t="s">
        <v>414</v>
      </c>
    </row>
    <row r="25" spans="2:2" ht="21.75" customHeight="1" x14ac:dyDescent="0.2">
      <c r="B25" s="19" t="s">
        <v>415</v>
      </c>
    </row>
    <row r="26" spans="2:2" ht="15" customHeight="1" x14ac:dyDescent="0.2">
      <c r="B26" s="19"/>
    </row>
    <row r="27" spans="2:2" ht="15" customHeight="1" x14ac:dyDescent="0.2">
      <c r="B27" s="20" t="s">
        <v>416</v>
      </c>
    </row>
    <row r="28" spans="2:2" ht="15" customHeight="1" x14ac:dyDescent="0.2">
      <c r="B28" s="19" t="s">
        <v>417</v>
      </c>
    </row>
    <row r="29" spans="2:2" ht="15" customHeight="1" x14ac:dyDescent="0.2">
      <c r="B29" s="19" t="s">
        <v>418</v>
      </c>
    </row>
    <row r="30" spans="2:2" ht="15" customHeight="1" x14ac:dyDescent="0.2">
      <c r="B30" s="19" t="s">
        <v>419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Domain Benefit Use Cases</vt:lpstr>
      <vt:lpstr>Competitive Positioning</vt:lpstr>
      <vt:lpstr>TCO Model</vt:lpstr>
      <vt:lpstr>How to Position 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Ramana Nagarajan</cp:lastModifiedBy>
  <cp:revision>0</cp:revision>
  <dcterms:created xsi:type="dcterms:W3CDTF">2026-08-09T19:04:54Z</dcterms:created>
  <dcterms:modified xsi:type="dcterms:W3CDTF">2026-08-12T17:25:21Z</dcterms:modified>
  <dc:language>en-US</dc:language>
</cp:coreProperties>
</file>